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ongjie\source\repos\zongjieshen\RatesMarket\PythonMarketAnalytics\"/>
    </mc:Choice>
  </mc:AlternateContent>
  <xr:revisionPtr revIDLastSave="0" documentId="13_ncr:1_{342CD56B-EFD7-4D52-B4F3-537FE4F4857B}" xr6:coauthVersionLast="47" xr6:coauthVersionMax="47" xr10:uidLastSave="{00000000-0000-0000-0000-000000000000}"/>
  <bookViews>
    <workbookView xWindow="-28920" yWindow="5415" windowWidth="29040" windowHeight="15840" xr2:uid="{360BA86D-65F6-4478-A636-331A56AC90E7}"/>
  </bookViews>
  <sheets>
    <sheet name="YieldCurve" sheetId="1" r:id="rId1"/>
    <sheet name="CreditCurve" sheetId="5" r:id="rId2"/>
    <sheet name="DV01" sheetId="4" r:id="rId3"/>
  </sheets>
  <functionGroups builtInGroupCount="19">
    <functionGroup name="xlwings"/>
  </functionGroups>
  <definedNames>
    <definedName name="buildItems">YieldCurve!$D$2:$I$25</definedName>
    <definedName name="MarketHandle">YieldCurve!$B$3</definedName>
    <definedName name="valueDate">YieldCurve!$B$2</definedName>
  </definedNames>
  <calcPr calcId="181029" calcMode="manual" concurrentCalc="0"/>
  <extLst>
    <ext xmlns:x14="http://schemas.microsoft.com/office/spreadsheetml/2009/9/main" uri="{8193D73E-4604-4355-AFF4-8A2333D13BE4}">
      <x14:definedNames>
        <x14:definedName name="CharPoints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CreditCurveChartPoints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Dv01AtEachPillar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marketChartPoints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marketCreat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marketDv01AtEachpillar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marketItempillars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rketItems">
          <x14:argumentDescriptions count="1">
            <x14:argumentDescription index="0">Positional argument 1</x14:argumentDescription>
          </x14:argumentDescriptions>
        </x14:definedName>
        <x14:definedName name="RemoveHandle">
          <x14:argumentDescriptions count="1">
            <x14:argumentDescription index="0">Positional argument 1</x14:argumentDescription>
          </x14:argumentDescriptions>
        </x14:definedName>
        <x14:definedName name="ScheduleCreat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" i="1" l="1"/>
  <c r="A9" i="1" a="1"/>
  <c r="A9" i="1"/>
  <c r="B9" i="1"/>
  <c r="A10" i="1"/>
  <c r="B10" i="1"/>
  <c r="A11" i="1"/>
  <c r="B11" i="1"/>
  <c r="A12" i="1"/>
  <c r="B12" i="1"/>
  <c r="A13" i="1"/>
  <c r="B13" i="1"/>
  <c r="A14" i="1"/>
  <c r="B14" i="1"/>
  <c r="A15" i="1"/>
  <c r="B15" i="1"/>
  <c r="A16" i="1"/>
  <c r="B16" i="1"/>
  <c r="A17" i="1"/>
  <c r="B17" i="1"/>
  <c r="A18" i="1"/>
  <c r="B18" i="1"/>
  <c r="A19" i="1"/>
  <c r="B19" i="1"/>
  <c r="A20" i="1"/>
  <c r="B20" i="1"/>
  <c r="A21" i="1"/>
  <c r="B21" i="1"/>
  <c r="A22" i="1"/>
  <c r="B22" i="1"/>
  <c r="G6" i="5" a="1"/>
  <c r="G122" i="5"/>
  <c r="G121" i="5"/>
  <c r="G120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H6" i="5" a="1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N6" i="1" a="1"/>
  <c r="N122" i="1"/>
  <c r="N121" i="1"/>
  <c r="N120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O6" i="1" a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B3" i="5"/>
  <c r="G6" i="5"/>
  <c r="R6" i="1" a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B2" i="4"/>
  <c r="M27" i="4" a="1"/>
  <c r="Q6" i="1" a="1"/>
  <c r="D2" i="4" a="1"/>
  <c r="P6" i="1" a="1"/>
  <c r="P70" i="1"/>
  <c r="P49" i="1"/>
  <c r="P76" i="1"/>
  <c r="P44" i="1"/>
  <c r="P86" i="1"/>
  <c r="P33" i="1"/>
  <c r="P75" i="1"/>
  <c r="P46" i="1"/>
  <c r="P105" i="1"/>
  <c r="P32" i="1"/>
  <c r="P37" i="1"/>
  <c r="P67" i="1"/>
  <c r="P59" i="1"/>
  <c r="P100" i="1"/>
  <c r="P29" i="1"/>
  <c r="P25" i="1"/>
  <c r="P22" i="1"/>
  <c r="P16" i="1"/>
  <c r="P65" i="1"/>
  <c r="P88" i="1"/>
  <c r="P36" i="1"/>
  <c r="P72" i="1"/>
  <c r="P63" i="1"/>
  <c r="P101" i="1"/>
  <c r="P96" i="1"/>
  <c r="P116" i="1"/>
  <c r="P108" i="1"/>
  <c r="P26" i="1"/>
  <c r="P57" i="1"/>
  <c r="P69" i="1"/>
  <c r="P24" i="1"/>
  <c r="P50" i="1"/>
  <c r="P110" i="1"/>
  <c r="P12" i="1"/>
  <c r="P18" i="1"/>
  <c r="P104" i="1"/>
  <c r="P99" i="1"/>
  <c r="P23" i="1"/>
  <c r="P122" i="1"/>
  <c r="P73" i="1"/>
  <c r="P85" i="1"/>
  <c r="P28" i="1"/>
  <c r="P98" i="1"/>
  <c r="P81" i="1"/>
  <c r="P47" i="1"/>
  <c r="P119" i="1"/>
  <c r="P93" i="1"/>
  <c r="P51" i="1"/>
  <c r="P66" i="1"/>
  <c r="P87" i="1"/>
  <c r="P118" i="1"/>
  <c r="P19" i="1"/>
  <c r="P34" i="1"/>
  <c r="P97" i="1"/>
  <c r="P91" i="1"/>
  <c r="P13" i="1"/>
  <c r="P45" i="1"/>
  <c r="P60" i="1"/>
  <c r="P55" i="1"/>
  <c r="P8" i="1"/>
  <c r="P78" i="1"/>
  <c r="P14" i="1"/>
  <c r="P94" i="1"/>
  <c r="P111" i="1"/>
  <c r="P17" i="1"/>
  <c r="P35" i="1"/>
  <c r="P74" i="1"/>
  <c r="P114" i="1"/>
  <c r="P92" i="1"/>
  <c r="P103" i="1"/>
  <c r="P84" i="1"/>
  <c r="P83" i="1"/>
  <c r="P117" i="1"/>
  <c r="P41" i="1"/>
  <c r="P53" i="1"/>
  <c r="P58" i="1"/>
  <c r="P113" i="1"/>
  <c r="P6" i="1"/>
  <c r="P38" i="1"/>
  <c r="P82" i="1"/>
  <c r="P30" i="1"/>
  <c r="P54" i="1"/>
  <c r="P31" i="1"/>
  <c r="P40" i="1"/>
  <c r="P77" i="1"/>
  <c r="P107" i="1"/>
  <c r="P52" i="1"/>
  <c r="P71" i="1"/>
  <c r="P20" i="1"/>
  <c r="P62" i="1"/>
  <c r="P61" i="1"/>
  <c r="P21" i="1"/>
  <c r="P39" i="1"/>
  <c r="P7" i="1"/>
  <c r="P15" i="1"/>
  <c r="P42" i="1"/>
  <c r="P120" i="1"/>
  <c r="P68" i="1"/>
  <c r="P95" i="1"/>
  <c r="P79" i="1"/>
  <c r="P106" i="1"/>
  <c r="P121" i="1"/>
  <c r="P64" i="1"/>
  <c r="P90" i="1"/>
  <c r="P27" i="1"/>
  <c r="P102" i="1"/>
  <c r="P115" i="1"/>
  <c r="P89" i="1"/>
  <c r="P56" i="1"/>
  <c r="P10" i="1"/>
  <c r="P48" i="1"/>
  <c r="P80" i="1"/>
  <c r="P9" i="1"/>
  <c r="P109" i="1"/>
  <c r="P43" i="1"/>
  <c r="P11" i="1"/>
  <c r="P112" i="1"/>
  <c r="D20" i="4"/>
  <c r="D22" i="4"/>
  <c r="D13" i="4"/>
  <c r="D17" i="4"/>
  <c r="E21" i="4"/>
  <c r="D12" i="4"/>
  <c r="D9" i="4"/>
  <c r="D14" i="4"/>
  <c r="D4" i="4"/>
  <c r="E20" i="4"/>
  <c r="D15" i="4"/>
  <c r="E15" i="4"/>
  <c r="E11" i="4"/>
  <c r="D7" i="4"/>
  <c r="D21" i="4"/>
  <c r="E17" i="4"/>
  <c r="E2" i="4"/>
  <c r="E19" i="4"/>
  <c r="D5" i="4"/>
  <c r="E18" i="4"/>
  <c r="D19" i="4"/>
  <c r="E6" i="4"/>
  <c r="D2" i="4"/>
  <c r="E10" i="4"/>
  <c r="E8" i="4"/>
  <c r="D10" i="4"/>
  <c r="E3" i="4"/>
  <c r="E7" i="4"/>
  <c r="D11" i="4"/>
  <c r="E12" i="4"/>
  <c r="E9" i="4"/>
  <c r="E13" i="4"/>
  <c r="D18" i="4"/>
  <c r="E22" i="4"/>
  <c r="D16" i="4"/>
  <c r="E4" i="4"/>
  <c r="E16" i="4"/>
  <c r="D6" i="4"/>
  <c r="E14" i="4"/>
  <c r="D3" i="4"/>
  <c r="E5" i="4"/>
  <c r="D8" i="4"/>
  <c r="Q111" i="1"/>
  <c r="Q10" i="1"/>
  <c r="Q48" i="1"/>
  <c r="Q90" i="1"/>
  <c r="Q83" i="1"/>
  <c r="Q110" i="1"/>
  <c r="Q87" i="1"/>
  <c r="Q14" i="1"/>
  <c r="Q16" i="1"/>
  <c r="Q28" i="1"/>
  <c r="Q66" i="1"/>
  <c r="Q59" i="1"/>
  <c r="Q106" i="1"/>
  <c r="Q54" i="1"/>
  <c r="Q89" i="1"/>
  <c r="Q15" i="1"/>
  <c r="Q122" i="1"/>
  <c r="Q92" i="1"/>
  <c r="Q23" i="1"/>
  <c r="Q98" i="1"/>
  <c r="Q40" i="1"/>
  <c r="Q77" i="1"/>
  <c r="Q93" i="1"/>
  <c r="Q72" i="1"/>
  <c r="Q119" i="1"/>
  <c r="Q27" i="1"/>
  <c r="Q11" i="1"/>
  <c r="Q75" i="1"/>
  <c r="Q6" i="1"/>
  <c r="Q39" i="1"/>
  <c r="Q26" i="1"/>
  <c r="Q82" i="1"/>
  <c r="Q20" i="1"/>
  <c r="Q80" i="1"/>
  <c r="Q73" i="1"/>
  <c r="Q8" i="1"/>
  <c r="Q102" i="1"/>
  <c r="Q74" i="1"/>
  <c r="Q37" i="1"/>
  <c r="Q52" i="1"/>
  <c r="Q18" i="1"/>
  <c r="Q36" i="1"/>
  <c r="Q100" i="1"/>
  <c r="Q42" i="1"/>
  <c r="Q51" i="1"/>
  <c r="Q24" i="1"/>
  <c r="Q107" i="1"/>
  <c r="Q12" i="1"/>
  <c r="Q81" i="1"/>
  <c r="Q63" i="1"/>
  <c r="Q56" i="1"/>
  <c r="Q64" i="1"/>
  <c r="Q29" i="1"/>
  <c r="Q84" i="1"/>
  <c r="Q49" i="1"/>
  <c r="Q116" i="1"/>
  <c r="Q45" i="1"/>
  <c r="Q114" i="1"/>
  <c r="Q99" i="1"/>
  <c r="Q34" i="1"/>
  <c r="Q67" i="1"/>
  <c r="Q17" i="1"/>
  <c r="Q13" i="1"/>
  <c r="Q50" i="1"/>
  <c r="Q43" i="1"/>
  <c r="Q78" i="1"/>
  <c r="Q117" i="1"/>
  <c r="Q101" i="1"/>
  <c r="Q70" i="1"/>
  <c r="Q68" i="1"/>
  <c r="Q44" i="1"/>
  <c r="Q94" i="1"/>
  <c r="Q9" i="1"/>
  <c r="Q95" i="1"/>
  <c r="Q112" i="1"/>
  <c r="Q118" i="1"/>
  <c r="Q38" i="1"/>
  <c r="Q35" i="1"/>
  <c r="Q115" i="1"/>
  <c r="Q62" i="1"/>
  <c r="Q46" i="1"/>
  <c r="Q19" i="1"/>
  <c r="Q91" i="1"/>
  <c r="Q21" i="1"/>
  <c r="Q79" i="1"/>
  <c r="Q33" i="1"/>
  <c r="Q22" i="1"/>
  <c r="Q86" i="1"/>
  <c r="Q105" i="1"/>
  <c r="Q85" i="1"/>
  <c r="Q113" i="1"/>
  <c r="Q25" i="1"/>
  <c r="Q71" i="1"/>
  <c r="Q97" i="1"/>
  <c r="Q57" i="1"/>
  <c r="Q30" i="1"/>
  <c r="Q55" i="1"/>
  <c r="Q61" i="1"/>
  <c r="Q104" i="1"/>
  <c r="Q41" i="1"/>
  <c r="Q47" i="1"/>
  <c r="Q108" i="1"/>
  <c r="Q32" i="1"/>
  <c r="Q69" i="1"/>
  <c r="Q103" i="1"/>
  <c r="Q31" i="1"/>
  <c r="Q120" i="1"/>
  <c r="Q7" i="1"/>
  <c r="Q109" i="1"/>
  <c r="Q88" i="1"/>
  <c r="Q58" i="1"/>
  <c r="Q60" i="1"/>
  <c r="Q76" i="1"/>
  <c r="Q65" i="1"/>
  <c r="Q96" i="1"/>
  <c r="Q53" i="1"/>
  <c r="Q121" i="1"/>
  <c r="N6" i="1"/>
  <c r="X27" i="4"/>
  <c r="X28" i="4"/>
  <c r="X29" i="4"/>
  <c r="X30" i="4"/>
  <c r="X31" i="4"/>
  <c r="X32" i="4"/>
  <c r="X33" i="4"/>
  <c r="X34" i="4"/>
  <c r="X35" i="4"/>
  <c r="X36" i="4"/>
  <c r="X37" i="4"/>
  <c r="X38" i="4"/>
  <c r="X40" i="4"/>
  <c r="X42" i="4"/>
  <c r="X44" i="4"/>
  <c r="X46" i="4"/>
  <c r="M28" i="4"/>
  <c r="M37" i="4"/>
  <c r="M46" i="4"/>
  <c r="M27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V47" i="4"/>
  <c r="M34" i="4"/>
  <c r="M43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R43" i="4"/>
  <c r="R45" i="4"/>
  <c r="R47" i="4"/>
  <c r="U44" i="4"/>
  <c r="V42" i="4"/>
  <c r="M30" i="4"/>
  <c r="M40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4" i="4"/>
  <c r="R46" i="4"/>
  <c r="U43" i="4"/>
  <c r="U47" i="4"/>
  <c r="V46" i="4"/>
  <c r="M29" i="4"/>
  <c r="M38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U46" i="4"/>
  <c r="V43" i="4"/>
  <c r="M32" i="4"/>
  <c r="M39" i="4"/>
  <c r="M47" i="4"/>
  <c r="T27" i="4"/>
  <c r="T28" i="4"/>
  <c r="T29" i="4"/>
  <c r="T30" i="4"/>
  <c r="T31" i="4"/>
  <c r="T32" i="4"/>
  <c r="T33" i="4"/>
  <c r="T34" i="4"/>
  <c r="T35" i="4"/>
  <c r="T36" i="4"/>
  <c r="T37" i="4"/>
  <c r="T38" i="4"/>
  <c r="T39" i="4"/>
  <c r="T40" i="4"/>
  <c r="T41" i="4"/>
  <c r="T42" i="4"/>
  <c r="T43" i="4"/>
  <c r="T44" i="4"/>
  <c r="T45" i="4"/>
  <c r="T46" i="4"/>
  <c r="T47" i="4"/>
  <c r="U36" i="4"/>
  <c r="U39" i="4"/>
  <c r="U41" i="4"/>
  <c r="U45" i="4"/>
  <c r="V45" i="4"/>
  <c r="M35" i="4"/>
  <c r="M45" i="4"/>
  <c r="U27" i="4"/>
  <c r="U28" i="4"/>
  <c r="U29" i="4"/>
  <c r="U30" i="4"/>
  <c r="U31" i="4"/>
  <c r="U32" i="4"/>
  <c r="U33" i="4"/>
  <c r="U34" i="4"/>
  <c r="U35" i="4"/>
  <c r="U37" i="4"/>
  <c r="U38" i="4"/>
  <c r="U40" i="4"/>
  <c r="U42" i="4"/>
  <c r="V44" i="4"/>
  <c r="M33" i="4"/>
  <c r="M41" i="4"/>
  <c r="V27" i="4"/>
  <c r="V28" i="4"/>
  <c r="V29" i="4"/>
  <c r="V30" i="4"/>
  <c r="V31" i="4"/>
  <c r="V32" i="4"/>
  <c r="V33" i="4"/>
  <c r="V34" i="4"/>
  <c r="V35" i="4"/>
  <c r="V36" i="4"/>
  <c r="V37" i="4"/>
  <c r="V38" i="4"/>
  <c r="V39" i="4"/>
  <c r="V40" i="4"/>
  <c r="V41" i="4"/>
  <c r="M36" i="4"/>
  <c r="M44" i="4"/>
  <c r="W27" i="4"/>
  <c r="W28" i="4"/>
  <c r="W29" i="4"/>
  <c r="W30" i="4"/>
  <c r="W31" i="4"/>
  <c r="W32" i="4"/>
  <c r="W33" i="4"/>
  <c r="W34" i="4"/>
  <c r="W35" i="4"/>
  <c r="W36" i="4"/>
  <c r="W37" i="4"/>
  <c r="W38" i="4"/>
  <c r="W39" i="4"/>
  <c r="W40" i="4"/>
  <c r="W41" i="4"/>
  <c r="W42" i="4"/>
  <c r="W43" i="4"/>
  <c r="W44" i="4"/>
  <c r="W45" i="4"/>
  <c r="W46" i="4"/>
  <c r="W47" i="4"/>
  <c r="X39" i="4"/>
  <c r="X41" i="4"/>
  <c r="X43" i="4"/>
  <c r="X45" i="4"/>
  <c r="X47" i="4"/>
  <c r="M31" i="4"/>
  <c r="M42" i="4"/>
</calcChain>
</file>

<file path=xl/sharedStrings.xml><?xml version="1.0" encoding="utf-8"?>
<sst xmlns="http://schemas.openxmlformats.org/spreadsheetml/2006/main" count="116" uniqueCount="71">
  <si>
    <t>31/12/2021</t>
    <phoneticPr fontId="1" type="noConversion"/>
  </si>
  <si>
    <t>ValueDate</t>
  </si>
  <si>
    <t>Market Handle</t>
  </si>
  <si>
    <t>Parameter</t>
  </si>
  <si>
    <t>UseCache</t>
  </si>
  <si>
    <t>Build</t>
  </si>
  <si>
    <t>CurveType</t>
  </si>
  <si>
    <t>Filter</t>
  </si>
  <si>
    <t>Ccy</t>
  </si>
  <si>
    <t>AUDBondGov</t>
  </si>
  <si>
    <t>AUDSwap</t>
  </si>
  <si>
    <t>GBPOIS</t>
  </si>
  <si>
    <t>JPYOIS</t>
  </si>
  <si>
    <t>AUDSwap3m</t>
  </si>
  <si>
    <t>AUDSwap6m</t>
  </si>
  <si>
    <t>ValueType == 'BondYield' and Currency == 'AUD'</t>
  </si>
  <si>
    <t>Currency == 'GBP' and Context == 'Valuation' and Source == 'BBG' and ValueType == 'SwapRate' and CompoundingFrequency == 'Daily'</t>
  </si>
  <si>
    <t>Currency == 'JPY' and Context == 'Valuation' and Source == 'BBG' and ValueType == 'SwapRate' and CompoundingFrequency == 'Daily'</t>
  </si>
  <si>
    <t>(ValueType == 'DepositRate' and Label.str.contains ('AUDBILL').values) or ValueType == 'SwapRate' and PaymentFrequency == 'Quarterly' and Label.str.startswith('AUDSwap').values or ValueType == 'BasisSwap' and PaymentFrequency == 'SemiAnnual' and Label.str.startswith('AUDBasis6m3m').values</t>
  </si>
  <si>
    <t>(ValueType == 'DepositRate' and Label.str.contains ('AUDBILL').values) or ValueType == 'SwapRate' and PaymentFrequency == 'SemiAnnual' and Label.str.startswith('AUDSwap').values or ValueType == 'BasisSwap' and PaymentFrequency == 'Quarterly' and Label.str.startswith('AUDBasis6m3m').values</t>
  </si>
  <si>
    <t>AUDSwap1m</t>
  </si>
  <si>
    <t>AUCPI</t>
  </si>
  <si>
    <t>AUD.Bond.Gov.BEI</t>
  </si>
  <si>
    <t>YieldCurve</t>
  </si>
  <si>
    <t>IndexFixing</t>
  </si>
  <si>
    <t>InflationCurve</t>
  </si>
  <si>
    <t>(ValueType == 'DepositRate' and Label.str.contains ('AUDBILL').values) or ValueType == 'BasisSwap' and Label.str.startswith('AUDBasis3m1m').values</t>
  </si>
  <si>
    <t>Currency =='AUD' and Context == 'Valuation' and Source == 'BBG' and ValueType == 'BondYield'</t>
  </si>
  <si>
    <t>Currency =='AUD'</t>
  </si>
  <si>
    <t>AUD</t>
  </si>
  <si>
    <t>GBP</t>
  </si>
  <si>
    <t>JPY</t>
  </si>
  <si>
    <t>Label</t>
  </si>
  <si>
    <t>ValueType == 'DepositRate' and Label.str.contains ('AUDBILL').values or ValueType == 'SwapRate' and Label.str.contains ('AUDSwap').values</t>
  </si>
  <si>
    <t>FromDate</t>
  </si>
  <si>
    <t>ToDate</t>
  </si>
  <si>
    <t>Calendar</t>
  </si>
  <si>
    <t>Tenor</t>
  </si>
  <si>
    <t>3m</t>
  </si>
  <si>
    <t>SYD</t>
  </si>
  <si>
    <t>Convention</t>
  </si>
  <si>
    <t>RateType</t>
  </si>
  <si>
    <t>zero</t>
  </si>
  <si>
    <t>Fwd tenor</t>
  </si>
  <si>
    <t>unadjusted</t>
  </si>
  <si>
    <t>Curve Name</t>
  </si>
  <si>
    <t>Handle</t>
  </si>
  <si>
    <t>pillar</t>
  </si>
  <si>
    <t>ShockType</t>
  </si>
  <si>
    <t>ShockAmount</t>
  </si>
  <si>
    <t>Notional</t>
  </si>
  <si>
    <t>Curve</t>
  </si>
  <si>
    <t>Params</t>
  </si>
  <si>
    <t>discountCurve=AUDSwap</t>
  </si>
  <si>
    <t>discountCurve=AUDSwap3m</t>
  </si>
  <si>
    <t>PriceCurve</t>
  </si>
  <si>
    <t>IaaSpread</t>
  </si>
  <si>
    <t>Label == 'RBABondA'</t>
  </si>
  <si>
    <t>discountCurve=AUDBondGov;IndexFixing=AUCPI</t>
  </si>
  <si>
    <t>InterpMethod = previous</t>
  </si>
  <si>
    <t>SpreadYieldCurve</t>
  </si>
  <si>
    <t>AUDIaaCurve</t>
  </si>
  <si>
    <t>spreadCurve=IaaSpread;periods=3m;yearBasis=acton365f;discountCurve=AUDBondGov</t>
  </si>
  <si>
    <t>USDOIS</t>
  </si>
  <si>
    <t>Currency == 'USD' and Context == 'Valuation' and Source == 'BBG' and ValueType == 'SwapRate' and CompoundingFrequency == 'Daily'</t>
  </si>
  <si>
    <t>USD</t>
  </si>
  <si>
    <t>CreditCurve</t>
  </si>
  <si>
    <t>USDCreditSwap</t>
  </si>
  <si>
    <t>ValueType == 'CreditDefaultSwap' and Currency == 'USD'</t>
  </si>
  <si>
    <t>discountCurve=USDOIS</t>
  </si>
  <si>
    <t>SurvivalProb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</si>
</sst>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(* #,##0_);_(* \(#,##0\);_(* &quot;-&quot;??_);_(@_)"/>
    <numFmt numFmtId="166" formatCode="[$-F800]dddd\,\ mmmm\ dd\,\ yyyy"/>
    <numFmt numFmtId="167" formatCode="[$-C09]dd\-mmm\-yy;@"/>
    <numFmt numFmtId="168" formatCode="_(* #,##0.00000000_);_(* \(#,##0.00000000\);_(* &quot;-&quot;??_);_(@_)"/>
  </numFmts>
  <fonts count="7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0">
    <xf numFmtId="0" fontId="0" fillId="0" borderId="0"/>
    <xf numFmtId="164" fontId="2" fillId="0" borderId="0" applyFont="0" applyFill="0" applyBorder="0" applyAlignment="0" applyProtection="0">
      <alignment vertical="center"/>
    </xf>
    <xf numFmtId="0" fontId="4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9" fontId="2" fillId="0" borderId="0" applyFont="0" applyFill="0" applyBorder="0" applyAlignment="0" applyProtection="0"/>
  </cellStyleXfs>
  <cellXfs count="35">
    <xf numFmtId="0" fontId="0" fillId="0" borderId="0" xfId="0"/>
    <xf numFmtId="0" fontId="0" fillId="0" borderId="0" xfId="0" applyNumberFormat="1"/>
    <xf numFmtId="14" fontId="0" fillId="0" borderId="0" xfId="0" applyNumberFormat="1"/>
    <xf numFmtId="0" fontId="3" fillId="0" borderId="0" xfId="0" applyFont="1"/>
    <xf numFmtId="165" fontId="0" fillId="0" borderId="0" xfId="1" applyNumberFormat="1" applyFont="1" applyAlignment="1"/>
    <xf numFmtId="166" fontId="0" fillId="0" borderId="0" xfId="0" applyNumberFormat="1"/>
    <xf numFmtId="0" fontId="5" fillId="7" borderId="0" xfId="0" applyFont="1" applyFill="1"/>
    <xf numFmtId="14" fontId="2" fillId="6" borderId="1" xfId="6" applyNumberFormat="1" applyBorder="1"/>
    <xf numFmtId="0" fontId="4" fillId="2" borderId="0" xfId="2"/>
    <xf numFmtId="0" fontId="2" fillId="4" borderId="0" xfId="4"/>
    <xf numFmtId="0" fontId="6" fillId="3" borderId="0" xfId="3" applyFont="1"/>
    <xf numFmtId="0" fontId="2" fillId="6" borderId="0" xfId="6"/>
    <xf numFmtId="0" fontId="2" fillId="5" borderId="0" xfId="5"/>
    <xf numFmtId="0" fontId="2" fillId="6" borderId="0" xfId="6" applyAlignment="1"/>
    <xf numFmtId="0" fontId="2" fillId="5" borderId="0" xfId="5" applyAlignment="1"/>
    <xf numFmtId="166" fontId="2" fillId="6" borderId="0" xfId="6" applyNumberFormat="1"/>
    <xf numFmtId="166" fontId="2" fillId="5" borderId="0" xfId="5" applyNumberFormat="1"/>
    <xf numFmtId="167" fontId="0" fillId="0" borderId="0" xfId="0" applyNumberFormat="1"/>
    <xf numFmtId="0" fontId="0" fillId="0" borderId="0" xfId="1" applyNumberFormat="1" applyFont="1" applyAlignment="1"/>
    <xf numFmtId="168" fontId="0" fillId="0" borderId="0" xfId="1" applyNumberFormat="1" applyFont="1" applyAlignment="1"/>
    <xf numFmtId="167" fontId="2" fillId="9" borderId="0" xfId="8" applyNumberFormat="1"/>
    <xf numFmtId="10" fontId="2" fillId="9" borderId="0" xfId="8" applyNumberFormat="1"/>
    <xf numFmtId="10" fontId="2" fillId="9" borderId="0" xfId="8" applyNumberFormat="1" applyAlignment="1"/>
    <xf numFmtId="167" fontId="2" fillId="8" borderId="0" xfId="7" applyNumberFormat="1"/>
    <xf numFmtId="10" fontId="2" fillId="8" borderId="0" xfId="7" applyNumberFormat="1"/>
    <xf numFmtId="10" fontId="2" fillId="8" borderId="0" xfId="7" applyNumberFormat="1" applyAlignment="1"/>
    <xf numFmtId="14" fontId="2" fillId="6" borderId="0" xfId="6" applyNumberFormat="1" applyAlignment="1">
      <alignment horizontal="right"/>
    </xf>
    <xf numFmtId="14" fontId="2" fillId="5" borderId="0" xfId="5" applyNumberFormat="1" applyAlignment="1">
      <alignment horizontal="right"/>
    </xf>
    <xf numFmtId="0" fontId="2" fillId="6" borderId="0" xfId="6" applyNumberFormat="1"/>
    <xf numFmtId="0" fontId="2" fillId="5" borderId="0" xfId="5" applyNumberFormat="1"/>
    <xf numFmtId="0" fontId="2" fillId="9" borderId="0" xfId="8"/>
    <xf numFmtId="165" fontId="2" fillId="9" borderId="0" xfId="8" applyNumberFormat="1" applyAlignment="1"/>
    <xf numFmtId="0" fontId="2" fillId="8" borderId="0" xfId="7"/>
    <xf numFmtId="165" fontId="2" fillId="8" borderId="0" xfId="7" applyNumberFormat="1" applyAlignment="1"/>
    <xf numFmtId="10" fontId="0" fillId="0" borderId="0" xfId="9" applyNumberFormat="1" applyFont="1"/>
  </cellXfs>
  <cellStyles count="10">
    <cellStyle name="20% - Accent6" xfId="7" builtinId="50"/>
    <cellStyle name="40% - Accent3" xfId="3" builtinId="39"/>
    <cellStyle name="40% - Accent4" xfId="5" builtinId="43"/>
    <cellStyle name="40% - Accent6" xfId="8" builtinId="51"/>
    <cellStyle name="60% - Accent3" xfId="4" builtinId="40"/>
    <cellStyle name="60% - Accent4" xfId="6" builtinId="44"/>
    <cellStyle name="Comma" xfId="1" builtinId="3"/>
    <cellStyle name="Good" xfId="2" builtinId="26"/>
    <cellStyle name="Normal" xfId="0" builtinId="0"/>
    <cellStyle name="Percent" xfId="9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YieldCurve!$O$6</c:f>
              <c:strCache>
                <c:ptCount val="1"/>
                <c:pt idx="0">
                  <c:v>AttributeError: type object 'YieldCurve' has no attribute 'Charts'
    df = mkt.YieldCurve.Charts(curve,ratesType, dates ,tenor)
  File "c:\users\zongjie\source\repos\zongjieshen\ratesmarket\pythonmarketanalytics\MarketAddin.py", line 71, in marketChartPo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YieldCurve!$N$7:$N$122</c:f>
              <c:strCache>
                <c:ptCount val="116"/>
                <c:pt idx="0">
                  <c:v>30/03/2022</c:v>
                </c:pt>
                <c:pt idx="1">
                  <c:v>30/06/2022</c:v>
                </c:pt>
                <c:pt idx="2">
                  <c:v>30/09/2022</c:v>
                </c:pt>
                <c:pt idx="3">
                  <c:v>30/12/2022</c:v>
                </c:pt>
                <c:pt idx="4">
                  <c:v>30/03/2023</c:v>
                </c:pt>
                <c:pt idx="5">
                  <c:v>30/06/2023</c:v>
                </c:pt>
                <c:pt idx="6">
                  <c:v>30/09/2023</c:v>
                </c:pt>
                <c:pt idx="7">
                  <c:v>30/12/2023</c:v>
                </c:pt>
                <c:pt idx="8">
                  <c:v>30/03/2024</c:v>
                </c:pt>
                <c:pt idx="9">
                  <c:v>30/06/2024</c:v>
                </c:pt>
                <c:pt idx="10">
                  <c:v>30/09/2024</c:v>
                </c:pt>
                <c:pt idx="11">
                  <c:v>30/12/2024</c:v>
                </c:pt>
                <c:pt idx="12">
                  <c:v>30/03/2025</c:v>
                </c:pt>
                <c:pt idx="13">
                  <c:v>30/06/2025</c:v>
                </c:pt>
                <c:pt idx="14">
                  <c:v>30/09/2025</c:v>
                </c:pt>
                <c:pt idx="15">
                  <c:v>30/12/2025</c:v>
                </c:pt>
                <c:pt idx="16">
                  <c:v>30/03/2026</c:v>
                </c:pt>
                <c:pt idx="17">
                  <c:v>30/06/2026</c:v>
                </c:pt>
                <c:pt idx="18">
                  <c:v>30/09/2026</c:v>
                </c:pt>
                <c:pt idx="19">
                  <c:v>30/12/2026</c:v>
                </c:pt>
                <c:pt idx="20">
                  <c:v>30/03/2027</c:v>
                </c:pt>
                <c:pt idx="21">
                  <c:v>30/06/2027</c:v>
                </c:pt>
                <c:pt idx="22">
                  <c:v>30/09/2027</c:v>
                </c:pt>
                <c:pt idx="23">
                  <c:v>30/12/2027</c:v>
                </c:pt>
                <c:pt idx="24">
                  <c:v>30/03/2028</c:v>
                </c:pt>
                <c:pt idx="25">
                  <c:v>30/06/2028</c:v>
                </c:pt>
                <c:pt idx="26">
                  <c:v>30/09/2028</c:v>
                </c:pt>
                <c:pt idx="27">
                  <c:v>30/12/2028</c:v>
                </c:pt>
                <c:pt idx="28">
                  <c:v>30/03/2029</c:v>
                </c:pt>
                <c:pt idx="29">
                  <c:v>30/06/2029</c:v>
                </c:pt>
                <c:pt idx="30">
                  <c:v>30/09/2029</c:v>
                </c:pt>
                <c:pt idx="31">
                  <c:v>30/12/2029</c:v>
                </c:pt>
                <c:pt idx="32">
                  <c:v>30/03/2030</c:v>
                </c:pt>
                <c:pt idx="33">
                  <c:v>30/06/2030</c:v>
                </c:pt>
                <c:pt idx="34">
                  <c:v>30/09/2030</c:v>
                </c:pt>
                <c:pt idx="35">
                  <c:v>30/12/2030</c:v>
                </c:pt>
                <c:pt idx="36">
                  <c:v>30/03/2031</c:v>
                </c:pt>
                <c:pt idx="37">
                  <c:v>30/06/2031</c:v>
                </c:pt>
                <c:pt idx="38">
                  <c:v>30/09/2031</c:v>
                </c:pt>
                <c:pt idx="39">
                  <c:v>30/12/2031</c:v>
                </c:pt>
                <c:pt idx="40">
                  <c:v>30/03/2032</c:v>
                </c:pt>
                <c:pt idx="41">
                  <c:v>30/06/2032</c:v>
                </c:pt>
                <c:pt idx="42">
                  <c:v>30/09/2032</c:v>
                </c:pt>
                <c:pt idx="43">
                  <c:v>30/12/2032</c:v>
                </c:pt>
                <c:pt idx="44">
                  <c:v>30/03/2033</c:v>
                </c:pt>
                <c:pt idx="45">
                  <c:v>30/06/2033</c:v>
                </c:pt>
                <c:pt idx="46">
                  <c:v>30/09/2033</c:v>
                </c:pt>
                <c:pt idx="47">
                  <c:v>30/12/2033</c:v>
                </c:pt>
                <c:pt idx="48">
                  <c:v>30/03/2034</c:v>
                </c:pt>
                <c:pt idx="49">
                  <c:v>30/06/2034</c:v>
                </c:pt>
                <c:pt idx="50">
                  <c:v>30/09/2034</c:v>
                </c:pt>
                <c:pt idx="51">
                  <c:v>30/12/2034</c:v>
                </c:pt>
                <c:pt idx="52">
                  <c:v>30/03/2035</c:v>
                </c:pt>
                <c:pt idx="53">
                  <c:v>30/06/2035</c:v>
                </c:pt>
                <c:pt idx="54">
                  <c:v>30/09/2035</c:v>
                </c:pt>
                <c:pt idx="55">
                  <c:v>30/12/2035</c:v>
                </c:pt>
                <c:pt idx="56">
                  <c:v>30/03/2036</c:v>
                </c:pt>
                <c:pt idx="57">
                  <c:v>30/06/2036</c:v>
                </c:pt>
                <c:pt idx="58">
                  <c:v>30/09/2036</c:v>
                </c:pt>
                <c:pt idx="59">
                  <c:v>30/12/2036</c:v>
                </c:pt>
                <c:pt idx="60">
                  <c:v>30/03/2037</c:v>
                </c:pt>
                <c:pt idx="61">
                  <c:v>30/06/2037</c:v>
                </c:pt>
                <c:pt idx="62">
                  <c:v>30/09/2037</c:v>
                </c:pt>
                <c:pt idx="63">
                  <c:v>30/12/2037</c:v>
                </c:pt>
                <c:pt idx="64">
                  <c:v>30/03/2038</c:v>
                </c:pt>
                <c:pt idx="65">
                  <c:v>30/06/2038</c:v>
                </c:pt>
                <c:pt idx="66">
                  <c:v>30/09/2038</c:v>
                </c:pt>
                <c:pt idx="67">
                  <c:v>30/12/2038</c:v>
                </c:pt>
                <c:pt idx="68">
                  <c:v>30/03/2039</c:v>
                </c:pt>
                <c:pt idx="69">
                  <c:v>30/06/2039</c:v>
                </c:pt>
                <c:pt idx="70">
                  <c:v>30/09/2039</c:v>
                </c:pt>
                <c:pt idx="71">
                  <c:v>30/12/2039</c:v>
                </c:pt>
                <c:pt idx="72">
                  <c:v>30/03/2040</c:v>
                </c:pt>
                <c:pt idx="73">
                  <c:v>30/06/2040</c:v>
                </c:pt>
                <c:pt idx="74">
                  <c:v>30/09/2040</c:v>
                </c:pt>
                <c:pt idx="75">
                  <c:v>30/12/2040</c:v>
                </c:pt>
                <c:pt idx="76">
                  <c:v>30/03/2041</c:v>
                </c:pt>
                <c:pt idx="77">
                  <c:v>30/06/2041</c:v>
                </c:pt>
                <c:pt idx="78">
                  <c:v>30/09/2041</c:v>
                </c:pt>
                <c:pt idx="79">
                  <c:v>30/12/2041</c:v>
                </c:pt>
                <c:pt idx="80">
                  <c:v>30/03/2042</c:v>
                </c:pt>
                <c:pt idx="81">
                  <c:v>30/06/2042</c:v>
                </c:pt>
                <c:pt idx="82">
                  <c:v>30/09/2042</c:v>
                </c:pt>
                <c:pt idx="83">
                  <c:v>30/12/2042</c:v>
                </c:pt>
                <c:pt idx="84">
                  <c:v>30/03/2043</c:v>
                </c:pt>
                <c:pt idx="85">
                  <c:v>30/06/2043</c:v>
                </c:pt>
                <c:pt idx="86">
                  <c:v>30/09/2043</c:v>
                </c:pt>
                <c:pt idx="87">
                  <c:v>30/12/2043</c:v>
                </c:pt>
                <c:pt idx="88">
                  <c:v>30/03/2044</c:v>
                </c:pt>
                <c:pt idx="89">
                  <c:v>30/06/2044</c:v>
                </c:pt>
                <c:pt idx="90">
                  <c:v>30/09/2044</c:v>
                </c:pt>
                <c:pt idx="91">
                  <c:v>30/12/2044</c:v>
                </c:pt>
                <c:pt idx="92">
                  <c:v>30/03/2045</c:v>
                </c:pt>
                <c:pt idx="93">
                  <c:v>30/06/2045</c:v>
                </c:pt>
                <c:pt idx="94">
                  <c:v>30/09/2045</c:v>
                </c:pt>
                <c:pt idx="95">
                  <c:v>30/12/2045</c:v>
                </c:pt>
                <c:pt idx="96">
                  <c:v>30/03/2046</c:v>
                </c:pt>
                <c:pt idx="97">
                  <c:v>30/06/2046</c:v>
                </c:pt>
                <c:pt idx="98">
                  <c:v>30/09/2046</c:v>
                </c:pt>
                <c:pt idx="99">
                  <c:v>30/12/2046</c:v>
                </c:pt>
                <c:pt idx="100">
                  <c:v>30/03/2047</c:v>
                </c:pt>
                <c:pt idx="101">
                  <c:v>30/06/2047</c:v>
                </c:pt>
                <c:pt idx="102">
                  <c:v>30/09/2047</c:v>
                </c:pt>
                <c:pt idx="103">
                  <c:v>30/12/2047</c:v>
                </c:pt>
                <c:pt idx="104">
                  <c:v>30/03/2048</c:v>
                </c:pt>
                <c:pt idx="105">
                  <c:v>30/06/2048</c:v>
                </c:pt>
                <c:pt idx="106">
                  <c:v>30/09/2048</c:v>
                </c:pt>
                <c:pt idx="107">
                  <c:v>30/12/2048</c:v>
                </c:pt>
                <c:pt idx="108">
                  <c:v>30/03/2049</c:v>
                </c:pt>
                <c:pt idx="109">
                  <c:v>30/06/2049</c:v>
                </c:pt>
                <c:pt idx="110">
                  <c:v>30/09/2049</c:v>
                </c:pt>
                <c:pt idx="111">
                  <c:v>30/12/2049</c:v>
                </c:pt>
                <c:pt idx="112">
                  <c:v>30/03/2050</c:v>
                </c:pt>
                <c:pt idx="113">
                  <c:v>30/06/2050</c:v>
                </c:pt>
                <c:pt idx="114">
                  <c:v>30/09/2050</c:v>
                </c:pt>
                <c:pt idx="115">
                  <c:v>31/12/2050</c:v>
                </c:pt>
              </c:strCache>
            </c:strRef>
          </c:cat>
          <c:val>
            <c:numRef>
              <c:f>YieldCurve!$O$7:$O$122</c:f>
              <c:numCache>
                <c:formatCode>0.00%</c:formatCode>
                <c:ptCount val="1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F6-498A-861E-7EA832C3EBD8}"/>
            </c:ext>
          </c:extLst>
        </c:ser>
        <c:ser>
          <c:idx val="1"/>
          <c:order val="1"/>
          <c:tx>
            <c:strRef>
              <c:f>YieldCurve!$P$6</c:f>
              <c:strCache>
                <c:ptCount val="1"/>
                <c:pt idx="0">
                  <c:v>AttributeError: type object 'YieldCurve' has no attribute 'Charts'
    df = mkt.YieldCurve.Charts(curve,ratesType, dates ,tenor)
  File "c:\users\zongjie\source\repos\zongjieshen\ratesmarket\pythonmarketanalytics\MarketAddin.py", line 71, in marketChartPo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YieldCurve!$N$7:$N$122</c:f>
              <c:strCache>
                <c:ptCount val="116"/>
                <c:pt idx="0">
                  <c:v>30/03/2022</c:v>
                </c:pt>
                <c:pt idx="1">
                  <c:v>30/06/2022</c:v>
                </c:pt>
                <c:pt idx="2">
                  <c:v>30/09/2022</c:v>
                </c:pt>
                <c:pt idx="3">
                  <c:v>30/12/2022</c:v>
                </c:pt>
                <c:pt idx="4">
                  <c:v>30/03/2023</c:v>
                </c:pt>
                <c:pt idx="5">
                  <c:v>30/06/2023</c:v>
                </c:pt>
                <c:pt idx="6">
                  <c:v>30/09/2023</c:v>
                </c:pt>
                <c:pt idx="7">
                  <c:v>30/12/2023</c:v>
                </c:pt>
                <c:pt idx="8">
                  <c:v>30/03/2024</c:v>
                </c:pt>
                <c:pt idx="9">
                  <c:v>30/06/2024</c:v>
                </c:pt>
                <c:pt idx="10">
                  <c:v>30/09/2024</c:v>
                </c:pt>
                <c:pt idx="11">
                  <c:v>30/12/2024</c:v>
                </c:pt>
                <c:pt idx="12">
                  <c:v>30/03/2025</c:v>
                </c:pt>
                <c:pt idx="13">
                  <c:v>30/06/2025</c:v>
                </c:pt>
                <c:pt idx="14">
                  <c:v>30/09/2025</c:v>
                </c:pt>
                <c:pt idx="15">
                  <c:v>30/12/2025</c:v>
                </c:pt>
                <c:pt idx="16">
                  <c:v>30/03/2026</c:v>
                </c:pt>
                <c:pt idx="17">
                  <c:v>30/06/2026</c:v>
                </c:pt>
                <c:pt idx="18">
                  <c:v>30/09/2026</c:v>
                </c:pt>
                <c:pt idx="19">
                  <c:v>30/12/2026</c:v>
                </c:pt>
                <c:pt idx="20">
                  <c:v>30/03/2027</c:v>
                </c:pt>
                <c:pt idx="21">
                  <c:v>30/06/2027</c:v>
                </c:pt>
                <c:pt idx="22">
                  <c:v>30/09/2027</c:v>
                </c:pt>
                <c:pt idx="23">
                  <c:v>30/12/2027</c:v>
                </c:pt>
                <c:pt idx="24">
                  <c:v>30/03/2028</c:v>
                </c:pt>
                <c:pt idx="25">
                  <c:v>30/06/2028</c:v>
                </c:pt>
                <c:pt idx="26">
                  <c:v>30/09/2028</c:v>
                </c:pt>
                <c:pt idx="27">
                  <c:v>30/12/2028</c:v>
                </c:pt>
                <c:pt idx="28">
                  <c:v>30/03/2029</c:v>
                </c:pt>
                <c:pt idx="29">
                  <c:v>30/06/2029</c:v>
                </c:pt>
                <c:pt idx="30">
                  <c:v>30/09/2029</c:v>
                </c:pt>
                <c:pt idx="31">
                  <c:v>30/12/2029</c:v>
                </c:pt>
                <c:pt idx="32">
                  <c:v>30/03/2030</c:v>
                </c:pt>
                <c:pt idx="33">
                  <c:v>30/06/2030</c:v>
                </c:pt>
                <c:pt idx="34">
                  <c:v>30/09/2030</c:v>
                </c:pt>
                <c:pt idx="35">
                  <c:v>30/12/2030</c:v>
                </c:pt>
                <c:pt idx="36">
                  <c:v>30/03/2031</c:v>
                </c:pt>
                <c:pt idx="37">
                  <c:v>30/06/2031</c:v>
                </c:pt>
                <c:pt idx="38">
                  <c:v>30/09/2031</c:v>
                </c:pt>
                <c:pt idx="39">
                  <c:v>30/12/2031</c:v>
                </c:pt>
                <c:pt idx="40">
                  <c:v>30/03/2032</c:v>
                </c:pt>
                <c:pt idx="41">
                  <c:v>30/06/2032</c:v>
                </c:pt>
                <c:pt idx="42">
                  <c:v>30/09/2032</c:v>
                </c:pt>
                <c:pt idx="43">
                  <c:v>30/12/2032</c:v>
                </c:pt>
                <c:pt idx="44">
                  <c:v>30/03/2033</c:v>
                </c:pt>
                <c:pt idx="45">
                  <c:v>30/06/2033</c:v>
                </c:pt>
                <c:pt idx="46">
                  <c:v>30/09/2033</c:v>
                </c:pt>
                <c:pt idx="47">
                  <c:v>30/12/2033</c:v>
                </c:pt>
                <c:pt idx="48">
                  <c:v>30/03/2034</c:v>
                </c:pt>
                <c:pt idx="49">
                  <c:v>30/06/2034</c:v>
                </c:pt>
                <c:pt idx="50">
                  <c:v>30/09/2034</c:v>
                </c:pt>
                <c:pt idx="51">
                  <c:v>30/12/2034</c:v>
                </c:pt>
                <c:pt idx="52">
                  <c:v>30/03/2035</c:v>
                </c:pt>
                <c:pt idx="53">
                  <c:v>30/06/2035</c:v>
                </c:pt>
                <c:pt idx="54">
                  <c:v>30/09/2035</c:v>
                </c:pt>
                <c:pt idx="55">
                  <c:v>30/12/2035</c:v>
                </c:pt>
                <c:pt idx="56">
                  <c:v>30/03/2036</c:v>
                </c:pt>
                <c:pt idx="57">
                  <c:v>30/06/2036</c:v>
                </c:pt>
                <c:pt idx="58">
                  <c:v>30/09/2036</c:v>
                </c:pt>
                <c:pt idx="59">
                  <c:v>30/12/2036</c:v>
                </c:pt>
                <c:pt idx="60">
                  <c:v>30/03/2037</c:v>
                </c:pt>
                <c:pt idx="61">
                  <c:v>30/06/2037</c:v>
                </c:pt>
                <c:pt idx="62">
                  <c:v>30/09/2037</c:v>
                </c:pt>
                <c:pt idx="63">
                  <c:v>30/12/2037</c:v>
                </c:pt>
                <c:pt idx="64">
                  <c:v>30/03/2038</c:v>
                </c:pt>
                <c:pt idx="65">
                  <c:v>30/06/2038</c:v>
                </c:pt>
                <c:pt idx="66">
                  <c:v>30/09/2038</c:v>
                </c:pt>
                <c:pt idx="67">
                  <c:v>30/12/2038</c:v>
                </c:pt>
                <c:pt idx="68">
                  <c:v>30/03/2039</c:v>
                </c:pt>
                <c:pt idx="69">
                  <c:v>30/06/2039</c:v>
                </c:pt>
                <c:pt idx="70">
                  <c:v>30/09/2039</c:v>
                </c:pt>
                <c:pt idx="71">
                  <c:v>30/12/2039</c:v>
                </c:pt>
                <c:pt idx="72">
                  <c:v>30/03/2040</c:v>
                </c:pt>
                <c:pt idx="73">
                  <c:v>30/06/2040</c:v>
                </c:pt>
                <c:pt idx="74">
                  <c:v>30/09/2040</c:v>
                </c:pt>
                <c:pt idx="75">
                  <c:v>30/12/2040</c:v>
                </c:pt>
                <c:pt idx="76">
                  <c:v>30/03/2041</c:v>
                </c:pt>
                <c:pt idx="77">
                  <c:v>30/06/2041</c:v>
                </c:pt>
                <c:pt idx="78">
                  <c:v>30/09/2041</c:v>
                </c:pt>
                <c:pt idx="79">
                  <c:v>30/12/2041</c:v>
                </c:pt>
                <c:pt idx="80">
                  <c:v>30/03/2042</c:v>
                </c:pt>
                <c:pt idx="81">
                  <c:v>30/06/2042</c:v>
                </c:pt>
                <c:pt idx="82">
                  <c:v>30/09/2042</c:v>
                </c:pt>
                <c:pt idx="83">
                  <c:v>30/12/2042</c:v>
                </c:pt>
                <c:pt idx="84">
                  <c:v>30/03/2043</c:v>
                </c:pt>
                <c:pt idx="85">
                  <c:v>30/06/2043</c:v>
                </c:pt>
                <c:pt idx="86">
                  <c:v>30/09/2043</c:v>
                </c:pt>
                <c:pt idx="87">
                  <c:v>30/12/2043</c:v>
                </c:pt>
                <c:pt idx="88">
                  <c:v>30/03/2044</c:v>
                </c:pt>
                <c:pt idx="89">
                  <c:v>30/06/2044</c:v>
                </c:pt>
                <c:pt idx="90">
                  <c:v>30/09/2044</c:v>
                </c:pt>
                <c:pt idx="91">
                  <c:v>30/12/2044</c:v>
                </c:pt>
                <c:pt idx="92">
                  <c:v>30/03/2045</c:v>
                </c:pt>
                <c:pt idx="93">
                  <c:v>30/06/2045</c:v>
                </c:pt>
                <c:pt idx="94">
                  <c:v>30/09/2045</c:v>
                </c:pt>
                <c:pt idx="95">
                  <c:v>30/12/2045</c:v>
                </c:pt>
                <c:pt idx="96">
                  <c:v>30/03/2046</c:v>
                </c:pt>
                <c:pt idx="97">
                  <c:v>30/06/2046</c:v>
                </c:pt>
                <c:pt idx="98">
                  <c:v>30/09/2046</c:v>
                </c:pt>
                <c:pt idx="99">
                  <c:v>30/12/2046</c:v>
                </c:pt>
                <c:pt idx="100">
                  <c:v>30/03/2047</c:v>
                </c:pt>
                <c:pt idx="101">
                  <c:v>30/06/2047</c:v>
                </c:pt>
                <c:pt idx="102">
                  <c:v>30/09/2047</c:v>
                </c:pt>
                <c:pt idx="103">
                  <c:v>30/12/2047</c:v>
                </c:pt>
                <c:pt idx="104">
                  <c:v>30/03/2048</c:v>
                </c:pt>
                <c:pt idx="105">
                  <c:v>30/06/2048</c:v>
                </c:pt>
                <c:pt idx="106">
                  <c:v>30/09/2048</c:v>
                </c:pt>
                <c:pt idx="107">
                  <c:v>30/12/2048</c:v>
                </c:pt>
                <c:pt idx="108">
                  <c:v>30/03/2049</c:v>
                </c:pt>
                <c:pt idx="109">
                  <c:v>30/06/2049</c:v>
                </c:pt>
                <c:pt idx="110">
                  <c:v>30/09/2049</c:v>
                </c:pt>
                <c:pt idx="111">
                  <c:v>30/12/2049</c:v>
                </c:pt>
                <c:pt idx="112">
                  <c:v>30/03/2050</c:v>
                </c:pt>
                <c:pt idx="113">
                  <c:v>30/06/2050</c:v>
                </c:pt>
                <c:pt idx="114">
                  <c:v>30/09/2050</c:v>
                </c:pt>
                <c:pt idx="115">
                  <c:v>31/12/2050</c:v>
                </c:pt>
              </c:strCache>
            </c:strRef>
          </c:cat>
          <c:val>
            <c:numRef>
              <c:f>YieldCurve!$P$7:$P$122</c:f>
              <c:numCache>
                <c:formatCode>0.00%</c:formatCode>
                <c:ptCount val="1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F6-498A-861E-7EA832C3EBD8}"/>
            </c:ext>
          </c:extLst>
        </c:ser>
        <c:ser>
          <c:idx val="2"/>
          <c:order val="2"/>
          <c:tx>
            <c:strRef>
              <c:f>YieldCurve!$Q$6</c:f>
              <c:strCache>
                <c:ptCount val="1"/>
                <c:pt idx="0">
                  <c:v>AttributeError: type object 'YieldCurve' has no attribute 'Charts'
    df = mkt.YieldCurve.Charts(curve,ratesType, dates ,tenor)
  File "c:\users\zongjie\source\repos\zongjieshen\ratesmarket\pythonmarketanalytics\MarketAddin.py", line 71, in marketChartPo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YieldCurve!$N$7:$N$122</c:f>
              <c:strCache>
                <c:ptCount val="116"/>
                <c:pt idx="0">
                  <c:v>30/03/2022</c:v>
                </c:pt>
                <c:pt idx="1">
                  <c:v>30/06/2022</c:v>
                </c:pt>
                <c:pt idx="2">
                  <c:v>30/09/2022</c:v>
                </c:pt>
                <c:pt idx="3">
                  <c:v>30/12/2022</c:v>
                </c:pt>
                <c:pt idx="4">
                  <c:v>30/03/2023</c:v>
                </c:pt>
                <c:pt idx="5">
                  <c:v>30/06/2023</c:v>
                </c:pt>
                <c:pt idx="6">
                  <c:v>30/09/2023</c:v>
                </c:pt>
                <c:pt idx="7">
                  <c:v>30/12/2023</c:v>
                </c:pt>
                <c:pt idx="8">
                  <c:v>30/03/2024</c:v>
                </c:pt>
                <c:pt idx="9">
                  <c:v>30/06/2024</c:v>
                </c:pt>
                <c:pt idx="10">
                  <c:v>30/09/2024</c:v>
                </c:pt>
                <c:pt idx="11">
                  <c:v>30/12/2024</c:v>
                </c:pt>
                <c:pt idx="12">
                  <c:v>30/03/2025</c:v>
                </c:pt>
                <c:pt idx="13">
                  <c:v>30/06/2025</c:v>
                </c:pt>
                <c:pt idx="14">
                  <c:v>30/09/2025</c:v>
                </c:pt>
                <c:pt idx="15">
                  <c:v>30/12/2025</c:v>
                </c:pt>
                <c:pt idx="16">
                  <c:v>30/03/2026</c:v>
                </c:pt>
                <c:pt idx="17">
                  <c:v>30/06/2026</c:v>
                </c:pt>
                <c:pt idx="18">
                  <c:v>30/09/2026</c:v>
                </c:pt>
                <c:pt idx="19">
                  <c:v>30/12/2026</c:v>
                </c:pt>
                <c:pt idx="20">
                  <c:v>30/03/2027</c:v>
                </c:pt>
                <c:pt idx="21">
                  <c:v>30/06/2027</c:v>
                </c:pt>
                <c:pt idx="22">
                  <c:v>30/09/2027</c:v>
                </c:pt>
                <c:pt idx="23">
                  <c:v>30/12/2027</c:v>
                </c:pt>
                <c:pt idx="24">
                  <c:v>30/03/2028</c:v>
                </c:pt>
                <c:pt idx="25">
                  <c:v>30/06/2028</c:v>
                </c:pt>
                <c:pt idx="26">
                  <c:v>30/09/2028</c:v>
                </c:pt>
                <c:pt idx="27">
                  <c:v>30/12/2028</c:v>
                </c:pt>
                <c:pt idx="28">
                  <c:v>30/03/2029</c:v>
                </c:pt>
                <c:pt idx="29">
                  <c:v>30/06/2029</c:v>
                </c:pt>
                <c:pt idx="30">
                  <c:v>30/09/2029</c:v>
                </c:pt>
                <c:pt idx="31">
                  <c:v>30/12/2029</c:v>
                </c:pt>
                <c:pt idx="32">
                  <c:v>30/03/2030</c:v>
                </c:pt>
                <c:pt idx="33">
                  <c:v>30/06/2030</c:v>
                </c:pt>
                <c:pt idx="34">
                  <c:v>30/09/2030</c:v>
                </c:pt>
                <c:pt idx="35">
                  <c:v>30/12/2030</c:v>
                </c:pt>
                <c:pt idx="36">
                  <c:v>30/03/2031</c:v>
                </c:pt>
                <c:pt idx="37">
                  <c:v>30/06/2031</c:v>
                </c:pt>
                <c:pt idx="38">
                  <c:v>30/09/2031</c:v>
                </c:pt>
                <c:pt idx="39">
                  <c:v>30/12/2031</c:v>
                </c:pt>
                <c:pt idx="40">
                  <c:v>30/03/2032</c:v>
                </c:pt>
                <c:pt idx="41">
                  <c:v>30/06/2032</c:v>
                </c:pt>
                <c:pt idx="42">
                  <c:v>30/09/2032</c:v>
                </c:pt>
                <c:pt idx="43">
                  <c:v>30/12/2032</c:v>
                </c:pt>
                <c:pt idx="44">
                  <c:v>30/03/2033</c:v>
                </c:pt>
                <c:pt idx="45">
                  <c:v>30/06/2033</c:v>
                </c:pt>
                <c:pt idx="46">
                  <c:v>30/09/2033</c:v>
                </c:pt>
                <c:pt idx="47">
                  <c:v>30/12/2033</c:v>
                </c:pt>
                <c:pt idx="48">
                  <c:v>30/03/2034</c:v>
                </c:pt>
                <c:pt idx="49">
                  <c:v>30/06/2034</c:v>
                </c:pt>
                <c:pt idx="50">
                  <c:v>30/09/2034</c:v>
                </c:pt>
                <c:pt idx="51">
                  <c:v>30/12/2034</c:v>
                </c:pt>
                <c:pt idx="52">
                  <c:v>30/03/2035</c:v>
                </c:pt>
                <c:pt idx="53">
                  <c:v>30/06/2035</c:v>
                </c:pt>
                <c:pt idx="54">
                  <c:v>30/09/2035</c:v>
                </c:pt>
                <c:pt idx="55">
                  <c:v>30/12/2035</c:v>
                </c:pt>
                <c:pt idx="56">
                  <c:v>30/03/2036</c:v>
                </c:pt>
                <c:pt idx="57">
                  <c:v>30/06/2036</c:v>
                </c:pt>
                <c:pt idx="58">
                  <c:v>30/09/2036</c:v>
                </c:pt>
                <c:pt idx="59">
                  <c:v>30/12/2036</c:v>
                </c:pt>
                <c:pt idx="60">
                  <c:v>30/03/2037</c:v>
                </c:pt>
                <c:pt idx="61">
                  <c:v>30/06/2037</c:v>
                </c:pt>
                <c:pt idx="62">
                  <c:v>30/09/2037</c:v>
                </c:pt>
                <c:pt idx="63">
                  <c:v>30/12/2037</c:v>
                </c:pt>
                <c:pt idx="64">
                  <c:v>30/03/2038</c:v>
                </c:pt>
                <c:pt idx="65">
                  <c:v>30/06/2038</c:v>
                </c:pt>
                <c:pt idx="66">
                  <c:v>30/09/2038</c:v>
                </c:pt>
                <c:pt idx="67">
                  <c:v>30/12/2038</c:v>
                </c:pt>
                <c:pt idx="68">
                  <c:v>30/03/2039</c:v>
                </c:pt>
                <c:pt idx="69">
                  <c:v>30/06/2039</c:v>
                </c:pt>
                <c:pt idx="70">
                  <c:v>30/09/2039</c:v>
                </c:pt>
                <c:pt idx="71">
                  <c:v>30/12/2039</c:v>
                </c:pt>
                <c:pt idx="72">
                  <c:v>30/03/2040</c:v>
                </c:pt>
                <c:pt idx="73">
                  <c:v>30/06/2040</c:v>
                </c:pt>
                <c:pt idx="74">
                  <c:v>30/09/2040</c:v>
                </c:pt>
                <c:pt idx="75">
                  <c:v>30/12/2040</c:v>
                </c:pt>
                <c:pt idx="76">
                  <c:v>30/03/2041</c:v>
                </c:pt>
                <c:pt idx="77">
                  <c:v>30/06/2041</c:v>
                </c:pt>
                <c:pt idx="78">
                  <c:v>30/09/2041</c:v>
                </c:pt>
                <c:pt idx="79">
                  <c:v>30/12/2041</c:v>
                </c:pt>
                <c:pt idx="80">
                  <c:v>30/03/2042</c:v>
                </c:pt>
                <c:pt idx="81">
                  <c:v>30/06/2042</c:v>
                </c:pt>
                <c:pt idx="82">
                  <c:v>30/09/2042</c:v>
                </c:pt>
                <c:pt idx="83">
                  <c:v>30/12/2042</c:v>
                </c:pt>
                <c:pt idx="84">
                  <c:v>30/03/2043</c:v>
                </c:pt>
                <c:pt idx="85">
                  <c:v>30/06/2043</c:v>
                </c:pt>
                <c:pt idx="86">
                  <c:v>30/09/2043</c:v>
                </c:pt>
                <c:pt idx="87">
                  <c:v>30/12/2043</c:v>
                </c:pt>
                <c:pt idx="88">
                  <c:v>30/03/2044</c:v>
                </c:pt>
                <c:pt idx="89">
                  <c:v>30/06/2044</c:v>
                </c:pt>
                <c:pt idx="90">
                  <c:v>30/09/2044</c:v>
                </c:pt>
                <c:pt idx="91">
                  <c:v>30/12/2044</c:v>
                </c:pt>
                <c:pt idx="92">
                  <c:v>30/03/2045</c:v>
                </c:pt>
                <c:pt idx="93">
                  <c:v>30/06/2045</c:v>
                </c:pt>
                <c:pt idx="94">
                  <c:v>30/09/2045</c:v>
                </c:pt>
                <c:pt idx="95">
                  <c:v>30/12/2045</c:v>
                </c:pt>
                <c:pt idx="96">
                  <c:v>30/03/2046</c:v>
                </c:pt>
                <c:pt idx="97">
                  <c:v>30/06/2046</c:v>
                </c:pt>
                <c:pt idx="98">
                  <c:v>30/09/2046</c:v>
                </c:pt>
                <c:pt idx="99">
                  <c:v>30/12/2046</c:v>
                </c:pt>
                <c:pt idx="100">
                  <c:v>30/03/2047</c:v>
                </c:pt>
                <c:pt idx="101">
                  <c:v>30/06/2047</c:v>
                </c:pt>
                <c:pt idx="102">
                  <c:v>30/09/2047</c:v>
                </c:pt>
                <c:pt idx="103">
                  <c:v>30/12/2047</c:v>
                </c:pt>
                <c:pt idx="104">
                  <c:v>30/03/2048</c:v>
                </c:pt>
                <c:pt idx="105">
                  <c:v>30/06/2048</c:v>
                </c:pt>
                <c:pt idx="106">
                  <c:v>30/09/2048</c:v>
                </c:pt>
                <c:pt idx="107">
                  <c:v>30/12/2048</c:v>
                </c:pt>
                <c:pt idx="108">
                  <c:v>30/03/2049</c:v>
                </c:pt>
                <c:pt idx="109">
                  <c:v>30/06/2049</c:v>
                </c:pt>
                <c:pt idx="110">
                  <c:v>30/09/2049</c:v>
                </c:pt>
                <c:pt idx="111">
                  <c:v>30/12/2049</c:v>
                </c:pt>
                <c:pt idx="112">
                  <c:v>30/03/2050</c:v>
                </c:pt>
                <c:pt idx="113">
                  <c:v>30/06/2050</c:v>
                </c:pt>
                <c:pt idx="114">
                  <c:v>30/09/2050</c:v>
                </c:pt>
                <c:pt idx="115">
                  <c:v>31/12/2050</c:v>
                </c:pt>
              </c:strCache>
            </c:strRef>
          </c:cat>
          <c:val>
            <c:numRef>
              <c:f>YieldCurve!$Q$7:$Q$122</c:f>
              <c:numCache>
                <c:formatCode>0.00%</c:formatCode>
                <c:ptCount val="1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F6-498A-861E-7EA832C3EBD8}"/>
            </c:ext>
          </c:extLst>
        </c:ser>
        <c:ser>
          <c:idx val="3"/>
          <c:order val="3"/>
          <c:tx>
            <c:strRef>
              <c:f>YieldCurve!$R$6</c:f>
              <c:strCache>
                <c:ptCount val="1"/>
                <c:pt idx="0">
                  <c:v>AttributeError: type object 'YieldCurve' has no attribute 'Charts'
    df = mkt.YieldCurve.Charts(curve,ratesType, dates ,tenor)
  File "c:\users\zongjie\source\repos\zongjieshen\ratesmarket\pythonmarketanalytics\MarketAddin.py", line 71, in marketChartPo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YieldCurve!$R$7:$R$122</c:f>
              <c:numCache>
                <c:formatCode>0.00%</c:formatCode>
                <c:ptCount val="1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7F6-498A-861E-7EA832C3E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91205536"/>
        <c:axId val="791207504"/>
      </c:lineChart>
      <c:dateAx>
        <c:axId val="791205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207504"/>
        <c:crosses val="autoZero"/>
        <c:auto val="0"/>
        <c:lblOffset val="100"/>
        <c:baseTimeUnit val="days"/>
        <c:majorUnit val="10"/>
      </c:dateAx>
      <c:valAx>
        <c:axId val="79120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205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59531</xdr:colOff>
      <xdr:row>1</xdr:row>
      <xdr:rowOff>47625</xdr:rowOff>
    </xdr:from>
    <xdr:to>
      <xdr:col>35</xdr:col>
      <xdr:colOff>431006</xdr:colOff>
      <xdr:row>43</xdr:row>
      <xdr:rowOff>171451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F2099CA-5E96-4AD2-BE8B-D7597DF72C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AAD0B-B345-4A67-B665-0A56B3B3FBD0}">
  <sheetPr codeName="Sheet1"/>
  <dimension ref="A2:V122"/>
  <sheetViews>
    <sheetView showGridLines="0" tabSelected="1" zoomScale="80" zoomScaleNormal="80" workbookViewId="0">
      <selection activeCell="B3" sqref="B3"/>
    </sheetView>
  </sheetViews>
  <sheetFormatPr defaultRowHeight="15" outlineLevelCol="1"/>
  <cols>
    <col min="1" max="1" width="21.5703125" customWidth="1"/>
    <col min="2" max="2" width="17.5703125" bestFit="1" customWidth="1"/>
    <col min="3" max="3" width="2.7109375" customWidth="1"/>
    <col min="4" max="4" width="9.42578125" hidden="1" customWidth="1" outlineLevel="1"/>
    <col min="5" max="5" width="17.42578125" hidden="1" customWidth="1" outlineLevel="1"/>
    <col min="6" max="6" width="17.5703125" hidden="1" customWidth="1" outlineLevel="1"/>
    <col min="7" max="7" width="68.140625" hidden="1" customWidth="1" outlineLevel="1"/>
    <col min="8" max="8" width="9.140625" hidden="1" customWidth="1" outlineLevel="1"/>
    <col min="9" max="9" width="77" hidden="1" customWidth="1" outlineLevel="1"/>
    <col min="10" max="10" width="4.28515625" customWidth="1" collapsed="1"/>
    <col min="11" max="12" width="13.28515625" customWidth="1"/>
    <col min="13" max="13" width="3.140625" customWidth="1"/>
    <col min="14" max="14" width="14.28515625" style="17" customWidth="1"/>
    <col min="15" max="15" width="22.7109375" bestFit="1" customWidth="1"/>
    <col min="16" max="17" width="17.42578125" customWidth="1"/>
    <col min="18" max="18" width="17.42578125" style="19" customWidth="1"/>
    <col min="22" max="22" width="13.28515625" style="5" customWidth="1"/>
  </cols>
  <sheetData>
    <row r="2" spans="1:22">
      <c r="A2" s="6" t="s">
        <v>1</v>
      </c>
      <c r="B2" s="7">
        <v>44561</v>
      </c>
      <c r="D2" s="6" t="s">
        <v>5</v>
      </c>
      <c r="E2" s="6" t="s">
        <v>6</v>
      </c>
      <c r="F2" s="6" t="s">
        <v>32</v>
      </c>
      <c r="G2" s="6" t="s">
        <v>7</v>
      </c>
      <c r="H2" s="6" t="s">
        <v>8</v>
      </c>
      <c r="I2" s="6" t="s">
        <v>52</v>
      </c>
      <c r="K2" s="6" t="s">
        <v>34</v>
      </c>
      <c r="L2" s="26" t="s">
        <v>0</v>
      </c>
      <c r="N2" s="6" t="s">
        <v>45</v>
      </c>
      <c r="O2" s="15" t="s">
        <v>9</v>
      </c>
      <c r="P2" s="15" t="s">
        <v>10</v>
      </c>
      <c r="Q2" s="15" t="s">
        <v>13</v>
      </c>
      <c r="R2" s="15" t="s">
        <v>61</v>
      </c>
    </row>
    <row r="3" spans="1:22">
      <c r="A3" s="6" t="s">
        <v>2</v>
      </c>
      <c r="B3" s="8" t="str">
        <f>marketCreate("baseMarket",valueDate,,buildItems,B6)</f>
        <v>baseMarket</v>
      </c>
      <c r="D3" s="11" t="b">
        <v>1</v>
      </c>
      <c r="E3" s="11" t="s">
        <v>23</v>
      </c>
      <c r="F3" s="11" t="s">
        <v>9</v>
      </c>
      <c r="G3" s="13" t="s">
        <v>15</v>
      </c>
      <c r="H3" s="11" t="s">
        <v>29</v>
      </c>
      <c r="I3" s="11"/>
      <c r="K3" s="6" t="s">
        <v>35</v>
      </c>
      <c r="L3" s="27">
        <v>55153</v>
      </c>
      <c r="N3" s="6" t="s">
        <v>41</v>
      </c>
      <c r="O3" s="16" t="s">
        <v>42</v>
      </c>
      <c r="P3" s="16" t="s">
        <v>42</v>
      </c>
      <c r="Q3" s="16" t="s">
        <v>42</v>
      </c>
      <c r="R3" s="16" t="s">
        <v>42</v>
      </c>
    </row>
    <row r="4" spans="1:22">
      <c r="D4" s="12" t="b">
        <v>1</v>
      </c>
      <c r="E4" s="12" t="s">
        <v>23</v>
      </c>
      <c r="F4" s="12" t="s">
        <v>10</v>
      </c>
      <c r="G4" s="14" t="s">
        <v>33</v>
      </c>
      <c r="H4" s="12" t="s">
        <v>29</v>
      </c>
      <c r="I4" s="12"/>
      <c r="K4" s="6" t="s">
        <v>37</v>
      </c>
      <c r="L4" s="15" t="s">
        <v>38</v>
      </c>
      <c r="N4" s="6" t="s">
        <v>43</v>
      </c>
      <c r="O4" s="15" t="s">
        <v>38</v>
      </c>
      <c r="P4" s="15" t="s">
        <v>38</v>
      </c>
      <c r="Q4" s="15" t="s">
        <v>38</v>
      </c>
      <c r="R4" s="15" t="s">
        <v>38</v>
      </c>
    </row>
    <row r="5" spans="1:22">
      <c r="A5" s="6" t="s">
        <v>3</v>
      </c>
      <c r="B5" s="15"/>
      <c r="D5" s="11" t="b">
        <v>1</v>
      </c>
      <c r="E5" s="11" t="s">
        <v>23</v>
      </c>
      <c r="F5" s="11" t="s">
        <v>11</v>
      </c>
      <c r="G5" s="13" t="s">
        <v>16</v>
      </c>
      <c r="H5" s="11" t="s">
        <v>30</v>
      </c>
      <c r="I5" s="11"/>
      <c r="K5" s="6" t="s">
        <v>40</v>
      </c>
      <c r="L5" s="16" t="s">
        <v>44</v>
      </c>
      <c r="O5" s="1">
        <v>1</v>
      </c>
      <c r="P5" s="1">
        <v>1</v>
      </c>
      <c r="Q5" s="1">
        <v>1</v>
      </c>
      <c r="R5" s="18">
        <v>1</v>
      </c>
    </row>
    <row r="6" spans="1:22">
      <c r="A6" s="6" t="s">
        <v>4</v>
      </c>
      <c r="B6" s="16" t="b">
        <v>0</v>
      </c>
      <c r="D6" s="12" t="b">
        <v>1</v>
      </c>
      <c r="E6" s="12" t="s">
        <v>23</v>
      </c>
      <c r="F6" s="12" t="s">
        <v>12</v>
      </c>
      <c r="G6" s="14" t="s">
        <v>17</v>
      </c>
      <c r="H6" s="12" t="s">
        <v>31</v>
      </c>
      <c r="I6" s="12"/>
      <c r="K6" s="6" t="s">
        <v>36</v>
      </c>
      <c r="L6" s="15" t="s">
        <v>39</v>
      </c>
      <c r="N6" s="6" t="str">
        <f t="array" ref="N6:N122">ScheduleCreate(L2,L3,L4,L5,L6)</f>
        <v>Dates</v>
      </c>
      <c r="O6" s="6" t="str">
        <f t="array" ref="O6:O122">IF(O5=1,marketChartPoints(MarketHandle,O2,O3,N7:N122,O4),"")</f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6" s="6" t="str">
        <f t="array" ref="P6:P122">IF(P5=1,marketChartPoints(MarketHandle,P2,P3,N7:N122,P4),"")</f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6" s="6" t="str">
        <f t="array" ref="Q6:Q122">IF(Q5=1,marketChartPoints(MarketHandle,Q2,Q3,N7:N122,Q4),"")</f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6" s="6" t="str">
        <f t="array" ref="R6:R122">IF(R5=1,marketChartPoints(MarketHandle,R2,R3,N7:N122,R4),"")</f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7" spans="1:22">
      <c r="D7" s="11" t="b">
        <v>1</v>
      </c>
      <c r="E7" s="11" t="s">
        <v>23</v>
      </c>
      <c r="F7" s="11" t="s">
        <v>13</v>
      </c>
      <c r="G7" s="13" t="s">
        <v>18</v>
      </c>
      <c r="H7" s="11" t="s">
        <v>29</v>
      </c>
      <c r="I7" s="11" t="s">
        <v>53</v>
      </c>
      <c r="N7" s="20" t="str">
        <v>30/03/2022</v>
      </c>
      <c r="O7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7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7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7" s="22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7" s="1"/>
    </row>
    <row r="8" spans="1:22">
      <c r="D8" s="12" t="b">
        <v>1</v>
      </c>
      <c r="E8" s="12" t="s">
        <v>23</v>
      </c>
      <c r="F8" s="12" t="s">
        <v>14</v>
      </c>
      <c r="G8" s="14" t="s">
        <v>19</v>
      </c>
      <c r="H8" s="12" t="s">
        <v>29</v>
      </c>
      <c r="I8" s="12" t="s">
        <v>53</v>
      </c>
      <c r="N8" s="23" t="str">
        <v>30/06/2022</v>
      </c>
      <c r="O8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8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8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8" s="25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8" s="1"/>
    </row>
    <row r="9" spans="1:22">
      <c r="A9" s="6" t="str">
        <f t="array" ref="A9:B22">marketItems(B3)</f>
        <v>Currency|ItemType</v>
      </c>
      <c r="B9" s="6" t="str">
        <v>Items</v>
      </c>
      <c r="D9" s="11" t="b">
        <v>1</v>
      </c>
      <c r="E9" s="11" t="s">
        <v>23</v>
      </c>
      <c r="F9" s="11" t="s">
        <v>20</v>
      </c>
      <c r="G9" s="13" t="s">
        <v>26</v>
      </c>
      <c r="H9" s="11" t="s">
        <v>29</v>
      </c>
      <c r="I9" s="11" t="s">
        <v>54</v>
      </c>
      <c r="N9" s="20" t="str">
        <v>30/09/2022</v>
      </c>
      <c r="O9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9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9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9" s="22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9" s="1"/>
    </row>
    <row r="10" spans="1:22">
      <c r="A10" s="9" t="str">
        <v>AUD|YieldCurve</v>
      </c>
      <c r="B10" s="9" t="str">
        <v>AUDBondGov</v>
      </c>
      <c r="D10" s="12" t="b">
        <v>1</v>
      </c>
      <c r="E10" s="12" t="s">
        <v>24</v>
      </c>
      <c r="F10" s="12" t="s">
        <v>21</v>
      </c>
      <c r="G10" s="14" t="s">
        <v>28</v>
      </c>
      <c r="H10" s="12" t="s">
        <v>29</v>
      </c>
      <c r="I10" s="12"/>
      <c r="N10" s="23" t="str">
        <v>30/12/2022</v>
      </c>
      <c r="O10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10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10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10" s="25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10" s="1"/>
    </row>
    <row r="11" spans="1:22">
      <c r="A11" s="10" t="str">
        <v>AUD|YieldCurve</v>
      </c>
      <c r="B11" s="10" t="str">
        <v>AUDSwap</v>
      </c>
      <c r="D11" s="11" t="b">
        <v>1</v>
      </c>
      <c r="E11" s="11" t="s">
        <v>25</v>
      </c>
      <c r="F11" s="11" t="s">
        <v>22</v>
      </c>
      <c r="G11" s="13" t="s">
        <v>27</v>
      </c>
      <c r="H11" s="11" t="s">
        <v>29</v>
      </c>
      <c r="I11" s="11" t="s">
        <v>58</v>
      </c>
      <c r="N11" s="20" t="str">
        <v>30/03/2023</v>
      </c>
      <c r="O11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11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11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11" s="22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11" s="1"/>
    </row>
    <row r="12" spans="1:22">
      <c r="A12" s="9" t="str">
        <v>GBP|YieldCurve</v>
      </c>
      <c r="B12" s="9" t="str">
        <v>GBPOIS</v>
      </c>
      <c r="D12" s="12" t="b">
        <v>1</v>
      </c>
      <c r="E12" s="12" t="s">
        <v>55</v>
      </c>
      <c r="F12" s="12" t="s">
        <v>56</v>
      </c>
      <c r="G12" s="14" t="s">
        <v>57</v>
      </c>
      <c r="H12" s="12" t="s">
        <v>29</v>
      </c>
      <c r="I12" s="12" t="s">
        <v>59</v>
      </c>
      <c r="N12" s="23" t="str">
        <v>30/06/2023</v>
      </c>
      <c r="O12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12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12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12" s="25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12" s="1"/>
    </row>
    <row r="13" spans="1:22">
      <c r="A13" s="10" t="str">
        <v>JPY|YieldCurve</v>
      </c>
      <c r="B13" s="10" t="str">
        <v>JPYOIS</v>
      </c>
      <c r="D13" s="11" t="b">
        <v>1</v>
      </c>
      <c r="E13" s="11" t="s">
        <v>60</v>
      </c>
      <c r="F13" s="11" t="s">
        <v>61</v>
      </c>
      <c r="G13" s="13"/>
      <c r="H13" s="11" t="s">
        <v>29</v>
      </c>
      <c r="I13" s="11" t="s">
        <v>62</v>
      </c>
      <c r="N13" s="20" t="str">
        <v>30/09/2023</v>
      </c>
      <c r="O13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13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13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13" s="22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13" s="1"/>
    </row>
    <row r="14" spans="1:22">
      <c r="A14" s="9" t="str">
        <v>AUD|YieldCurve</v>
      </c>
      <c r="B14" s="9" t="str">
        <v>AUDSwap3m</v>
      </c>
      <c r="D14" s="12" t="b">
        <v>1</v>
      </c>
      <c r="E14" s="12" t="s">
        <v>23</v>
      </c>
      <c r="F14" s="12" t="s">
        <v>63</v>
      </c>
      <c r="G14" s="14" t="s">
        <v>64</v>
      </c>
      <c r="H14" s="12" t="s">
        <v>65</v>
      </c>
      <c r="I14" s="12"/>
      <c r="N14" s="23" t="str">
        <v>30/12/2023</v>
      </c>
      <c r="O14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14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14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14" s="25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14" s="1"/>
    </row>
    <row r="15" spans="1:22">
      <c r="A15" s="10" t="str">
        <v>AUD|YieldCurve</v>
      </c>
      <c r="B15" s="10" t="str">
        <v>AUDSwap6m</v>
      </c>
      <c r="D15" s="11" t="b">
        <v>1</v>
      </c>
      <c r="E15" s="11" t="s">
        <v>66</v>
      </c>
      <c r="F15" s="11" t="s">
        <v>67</v>
      </c>
      <c r="G15" s="13" t="s">
        <v>68</v>
      </c>
      <c r="H15" s="11" t="s">
        <v>65</v>
      </c>
      <c r="I15" s="11" t="s">
        <v>69</v>
      </c>
      <c r="N15" s="20" t="str">
        <v>30/03/2024</v>
      </c>
      <c r="O15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15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15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15" s="22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15" s="1"/>
    </row>
    <row r="16" spans="1:22">
      <c r="A16" s="9" t="str">
        <v>AUD|YieldCurve</v>
      </c>
      <c r="B16" s="9" t="str">
        <v>AUDSwap1m</v>
      </c>
      <c r="D16" s="12"/>
      <c r="E16" s="12"/>
      <c r="F16" s="12"/>
      <c r="G16" s="14"/>
      <c r="H16" s="12"/>
      <c r="I16" s="12"/>
      <c r="N16" s="23" t="str">
        <v>30/06/2024</v>
      </c>
      <c r="O16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16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16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16" s="25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16" s="1"/>
    </row>
    <row r="17" spans="1:22">
      <c r="A17" s="10" t="str">
        <v>AUD|IndexFixing</v>
      </c>
      <c r="B17" s="10" t="str">
        <v>AUCPI</v>
      </c>
      <c r="D17" s="11"/>
      <c r="E17" s="11"/>
      <c r="F17" s="11"/>
      <c r="G17" s="13"/>
      <c r="H17" s="11"/>
      <c r="I17" s="11"/>
      <c r="N17" s="20" t="str">
        <v>30/09/2024</v>
      </c>
      <c r="O17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17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17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17" s="22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17" s="1"/>
    </row>
    <row r="18" spans="1:22">
      <c r="A18" s="9" t="str">
        <v>AUD|InflationCurve</v>
      </c>
      <c r="B18" s="9" t="str">
        <v>AUD.Bond.Gov.BEI</v>
      </c>
      <c r="D18" s="12"/>
      <c r="E18" s="12"/>
      <c r="F18" s="12"/>
      <c r="G18" s="14"/>
      <c r="H18" s="12"/>
      <c r="I18" s="12"/>
      <c r="J18" s="3"/>
      <c r="N18" s="23" t="str">
        <v>30/12/2024</v>
      </c>
      <c r="O18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18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18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18" s="25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18" s="1"/>
    </row>
    <row r="19" spans="1:22">
      <c r="A19" s="10" t="str">
        <v>AUD|PriceCurve</v>
      </c>
      <c r="B19" s="10" t="str">
        <v>IaaSpread</v>
      </c>
      <c r="D19" s="11"/>
      <c r="E19" s="11"/>
      <c r="F19" s="11"/>
      <c r="G19" s="13"/>
      <c r="H19" s="11"/>
      <c r="I19" s="11"/>
      <c r="J19" s="3"/>
      <c r="N19" s="20" t="str">
        <v>30/03/2025</v>
      </c>
      <c r="O19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19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19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19" s="22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19" s="1"/>
    </row>
    <row r="20" spans="1:22">
      <c r="A20" s="9" t="str">
        <v>AUD|SpreadYieldCurve</v>
      </c>
      <c r="B20" s="9" t="str">
        <v>AUDIaaCurve</v>
      </c>
      <c r="D20" s="12"/>
      <c r="E20" s="12"/>
      <c r="F20" s="12"/>
      <c r="G20" s="14"/>
      <c r="H20" s="12"/>
      <c r="I20" s="12"/>
      <c r="J20" s="3"/>
      <c r="N20" s="23" t="str">
        <v>30/06/2025</v>
      </c>
      <c r="O20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20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20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20" s="25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20" s="1"/>
    </row>
    <row r="21" spans="1:22">
      <c r="A21" s="10" t="str">
        <v>USD|YieldCurve</v>
      </c>
      <c r="B21" s="10" t="str">
        <v>USDOIS</v>
      </c>
      <c r="D21" s="11"/>
      <c r="E21" s="11"/>
      <c r="F21" s="11"/>
      <c r="G21" s="13"/>
      <c r="H21" s="11"/>
      <c r="I21" s="11"/>
      <c r="J21" s="3"/>
      <c r="N21" s="20" t="str">
        <v>30/09/2025</v>
      </c>
      <c r="O21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21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21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21" s="22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21" s="1"/>
    </row>
    <row r="22" spans="1:22">
      <c r="A22" s="9" t="str">
        <v>USD|CreditCurve</v>
      </c>
      <c r="B22" s="9" t="str">
        <v>USDCreditSwap</v>
      </c>
      <c r="D22" s="12"/>
      <c r="E22" s="12"/>
      <c r="F22" s="12"/>
      <c r="G22" s="14"/>
      <c r="H22" s="12"/>
      <c r="I22" s="12"/>
      <c r="J22" s="3"/>
      <c r="N22" s="23" t="str">
        <v>30/12/2025</v>
      </c>
      <c r="O22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22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22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22" s="25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22" s="1"/>
    </row>
    <row r="23" spans="1:22">
      <c r="A23" s="10"/>
      <c r="B23" s="10"/>
      <c r="D23" s="11"/>
      <c r="E23" s="11"/>
      <c r="F23" s="11"/>
      <c r="G23" s="13"/>
      <c r="H23" s="11"/>
      <c r="I23" s="11"/>
      <c r="N23" s="20" t="str">
        <v>30/03/2026</v>
      </c>
      <c r="O23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23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23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23" s="22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23" s="1"/>
    </row>
    <row r="24" spans="1:22">
      <c r="A24" s="9"/>
      <c r="B24" s="9"/>
      <c r="D24" s="12"/>
      <c r="E24" s="12"/>
      <c r="F24" s="12"/>
      <c r="G24" s="14"/>
      <c r="H24" s="12"/>
      <c r="I24" s="12"/>
      <c r="N24" s="23" t="str">
        <v>30/06/2026</v>
      </c>
      <c r="O24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24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24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24" s="25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24" s="1"/>
    </row>
    <row r="25" spans="1:22">
      <c r="A25" s="10"/>
      <c r="B25" s="10"/>
      <c r="D25" s="11"/>
      <c r="E25" s="11"/>
      <c r="F25" s="11"/>
      <c r="G25" s="13"/>
      <c r="H25" s="11"/>
      <c r="I25" s="11"/>
      <c r="N25" s="20" t="str">
        <v>30/09/2026</v>
      </c>
      <c r="O25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25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25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25" s="22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25" s="1"/>
    </row>
    <row r="26" spans="1:22">
      <c r="A26" s="9"/>
      <c r="B26" s="9"/>
      <c r="G26" s="2"/>
      <c r="N26" s="23" t="str">
        <v>30/12/2026</v>
      </c>
      <c r="O26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26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26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26" s="25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26" s="1"/>
    </row>
    <row r="27" spans="1:22">
      <c r="A27" s="10"/>
      <c r="B27" s="10"/>
      <c r="G27" s="2"/>
      <c r="N27" s="20" t="str">
        <v>30/03/2027</v>
      </c>
      <c r="O27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27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27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27" s="22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27" s="1"/>
    </row>
    <row r="28" spans="1:22">
      <c r="A28" s="9"/>
      <c r="B28" s="9"/>
      <c r="G28" s="2"/>
      <c r="N28" s="23" t="str">
        <v>30/06/2027</v>
      </c>
      <c r="O28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28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28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28" s="25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28" s="1"/>
    </row>
    <row r="29" spans="1:22">
      <c r="G29" s="2"/>
      <c r="N29" s="20" t="str">
        <v>30/09/2027</v>
      </c>
      <c r="O29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29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29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29" s="22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29" s="1"/>
    </row>
    <row r="30" spans="1:22">
      <c r="G30" s="2"/>
      <c r="N30" s="23" t="str">
        <v>30/12/2027</v>
      </c>
      <c r="O30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30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30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30" s="25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30" s="1"/>
    </row>
    <row r="31" spans="1:22">
      <c r="G31" s="2"/>
      <c r="N31" s="20" t="str">
        <v>30/03/2028</v>
      </c>
      <c r="O31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31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31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31" s="22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31" s="1"/>
    </row>
    <row r="32" spans="1:22">
      <c r="G32" s="2"/>
      <c r="N32" s="23" t="str">
        <v>30/06/2028</v>
      </c>
      <c r="O32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32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32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32" s="25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32" s="1"/>
    </row>
    <row r="33" spans="7:22">
      <c r="G33" s="2"/>
      <c r="N33" s="20" t="str">
        <v>30/09/2028</v>
      </c>
      <c r="O33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33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33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33" s="22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33" s="1"/>
    </row>
    <row r="34" spans="7:22">
      <c r="G34" s="2"/>
      <c r="N34" s="23" t="str">
        <v>30/12/2028</v>
      </c>
      <c r="O34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34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34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34" s="25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34" s="1"/>
    </row>
    <row r="35" spans="7:22">
      <c r="N35" s="20" t="str">
        <v>30/03/2029</v>
      </c>
      <c r="O35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35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35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35" s="22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35" s="1"/>
    </row>
    <row r="36" spans="7:22">
      <c r="N36" s="23" t="str">
        <v>30/06/2029</v>
      </c>
      <c r="O36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36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36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36" s="25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36" s="1"/>
    </row>
    <row r="37" spans="7:22">
      <c r="N37" s="20" t="str">
        <v>30/09/2029</v>
      </c>
      <c r="O37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37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37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37" s="22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37" s="1"/>
    </row>
    <row r="38" spans="7:22">
      <c r="N38" s="23" t="str">
        <v>30/12/2029</v>
      </c>
      <c r="O38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38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38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38" s="25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38" s="1"/>
    </row>
    <row r="39" spans="7:22">
      <c r="N39" s="20" t="str">
        <v>30/03/2030</v>
      </c>
      <c r="O39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39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39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39" s="22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39" s="1"/>
    </row>
    <row r="40" spans="7:22">
      <c r="N40" s="23" t="str">
        <v>30/06/2030</v>
      </c>
      <c r="O40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40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40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40" s="25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40" s="1"/>
    </row>
    <row r="41" spans="7:22">
      <c r="N41" s="20" t="str">
        <v>30/09/2030</v>
      </c>
      <c r="O41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41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41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41" s="22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41" s="1"/>
    </row>
    <row r="42" spans="7:22">
      <c r="N42" s="23" t="str">
        <v>30/12/2030</v>
      </c>
      <c r="O42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42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42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42" s="25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42" s="1"/>
    </row>
    <row r="43" spans="7:22">
      <c r="N43" s="20" t="str">
        <v>30/03/2031</v>
      </c>
      <c r="O43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43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43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43" s="22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43" s="1"/>
    </row>
    <row r="44" spans="7:22">
      <c r="N44" s="23" t="str">
        <v>30/06/2031</v>
      </c>
      <c r="O44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44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44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44" s="25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44" s="1"/>
    </row>
    <row r="45" spans="7:22">
      <c r="N45" s="20" t="str">
        <v>30/09/2031</v>
      </c>
      <c r="O45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45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45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45" s="22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45" s="1"/>
    </row>
    <row r="46" spans="7:22">
      <c r="N46" s="23" t="str">
        <v>30/12/2031</v>
      </c>
      <c r="O46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46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46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46" s="25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46" s="1"/>
    </row>
    <row r="47" spans="7:22">
      <c r="N47" s="20" t="str">
        <v>30/03/2032</v>
      </c>
      <c r="O47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47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47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47" s="22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47" s="1"/>
    </row>
    <row r="48" spans="7:22">
      <c r="N48" s="23" t="str">
        <v>30/06/2032</v>
      </c>
      <c r="O48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48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48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48" s="25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48" s="1"/>
    </row>
    <row r="49" spans="14:22">
      <c r="N49" s="20" t="str">
        <v>30/09/2032</v>
      </c>
      <c r="O49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49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49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49" s="22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49" s="1"/>
    </row>
    <row r="50" spans="14:22">
      <c r="N50" s="23" t="str">
        <v>30/12/2032</v>
      </c>
      <c r="O50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50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50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50" s="25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50" s="1"/>
    </row>
    <row r="51" spans="14:22">
      <c r="N51" s="20" t="str">
        <v>30/03/2033</v>
      </c>
      <c r="O51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51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51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51" s="22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51" s="1"/>
    </row>
    <row r="52" spans="14:22">
      <c r="N52" s="23" t="str">
        <v>30/06/2033</v>
      </c>
      <c r="O52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52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52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52" s="25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52" s="1"/>
    </row>
    <row r="53" spans="14:22">
      <c r="N53" s="20" t="str">
        <v>30/09/2033</v>
      </c>
      <c r="O53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53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53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53" s="22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53" s="1"/>
    </row>
    <row r="54" spans="14:22">
      <c r="N54" s="23" t="str">
        <v>30/12/2033</v>
      </c>
      <c r="O54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54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54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54" s="25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54" s="1"/>
    </row>
    <row r="55" spans="14:22">
      <c r="N55" s="20" t="str">
        <v>30/03/2034</v>
      </c>
      <c r="O55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55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55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55" s="22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55" s="1"/>
    </row>
    <row r="56" spans="14:22">
      <c r="N56" s="23" t="str">
        <v>30/06/2034</v>
      </c>
      <c r="O56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56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56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56" s="25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56" s="1"/>
    </row>
    <row r="57" spans="14:22">
      <c r="N57" s="20" t="str">
        <v>30/09/2034</v>
      </c>
      <c r="O57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57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57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57" s="22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57" s="1"/>
    </row>
    <row r="58" spans="14:22">
      <c r="N58" s="23" t="str">
        <v>30/12/2034</v>
      </c>
      <c r="O58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58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58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58" s="25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58" s="1"/>
    </row>
    <row r="59" spans="14:22">
      <c r="N59" s="20" t="str">
        <v>30/03/2035</v>
      </c>
      <c r="O59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59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59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59" s="22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59" s="1"/>
    </row>
    <row r="60" spans="14:22">
      <c r="N60" s="23" t="str">
        <v>30/06/2035</v>
      </c>
      <c r="O60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60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60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60" s="25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60" s="1"/>
    </row>
    <row r="61" spans="14:22">
      <c r="N61" s="20" t="str">
        <v>30/09/2035</v>
      </c>
      <c r="O61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61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61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61" s="22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61" s="1"/>
    </row>
    <row r="62" spans="14:22">
      <c r="N62" s="23" t="str">
        <v>30/12/2035</v>
      </c>
      <c r="O62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62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62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62" s="25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62" s="1"/>
    </row>
    <row r="63" spans="14:22">
      <c r="N63" s="20" t="str">
        <v>30/03/2036</v>
      </c>
      <c r="O63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63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63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63" s="22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63" s="1"/>
    </row>
    <row r="64" spans="14:22">
      <c r="N64" s="23" t="str">
        <v>30/06/2036</v>
      </c>
      <c r="O64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64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64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64" s="25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64" s="1"/>
    </row>
    <row r="65" spans="14:22">
      <c r="N65" s="20" t="str">
        <v>30/09/2036</v>
      </c>
      <c r="O65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65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65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65" s="22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65" s="1"/>
    </row>
    <row r="66" spans="14:22">
      <c r="N66" s="23" t="str">
        <v>30/12/2036</v>
      </c>
      <c r="O66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66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66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66" s="25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66" s="1"/>
    </row>
    <row r="67" spans="14:22">
      <c r="N67" s="20" t="str">
        <v>30/03/2037</v>
      </c>
      <c r="O67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67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67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67" s="22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67" s="1"/>
    </row>
    <row r="68" spans="14:22">
      <c r="N68" s="23" t="str">
        <v>30/06/2037</v>
      </c>
      <c r="O68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68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68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68" s="25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68" s="1"/>
    </row>
    <row r="69" spans="14:22">
      <c r="N69" s="20" t="str">
        <v>30/09/2037</v>
      </c>
      <c r="O69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69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69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69" s="22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69" s="1"/>
    </row>
    <row r="70" spans="14:22">
      <c r="N70" s="23" t="str">
        <v>30/12/2037</v>
      </c>
      <c r="O70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70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70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70" s="25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70" s="1"/>
    </row>
    <row r="71" spans="14:22">
      <c r="N71" s="20" t="str">
        <v>30/03/2038</v>
      </c>
      <c r="O71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71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71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71" s="22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71" s="1"/>
    </row>
    <row r="72" spans="14:22">
      <c r="N72" s="23" t="str">
        <v>30/06/2038</v>
      </c>
      <c r="O72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72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72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72" s="25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72" s="1"/>
    </row>
    <row r="73" spans="14:22">
      <c r="N73" s="20" t="str">
        <v>30/09/2038</v>
      </c>
      <c r="O73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73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73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73" s="22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73" s="1"/>
    </row>
    <row r="74" spans="14:22">
      <c r="N74" s="23" t="str">
        <v>30/12/2038</v>
      </c>
      <c r="O74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74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74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74" s="25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74" s="1"/>
    </row>
    <row r="75" spans="14:22">
      <c r="N75" s="20" t="str">
        <v>30/03/2039</v>
      </c>
      <c r="O75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75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75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75" s="22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75" s="1"/>
    </row>
    <row r="76" spans="14:22">
      <c r="N76" s="23" t="str">
        <v>30/06/2039</v>
      </c>
      <c r="O76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76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76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76" s="25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76" s="1"/>
    </row>
    <row r="77" spans="14:22">
      <c r="N77" s="20" t="str">
        <v>30/09/2039</v>
      </c>
      <c r="O77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77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77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77" s="22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77" s="1"/>
    </row>
    <row r="78" spans="14:22">
      <c r="N78" s="23" t="str">
        <v>30/12/2039</v>
      </c>
      <c r="O78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78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78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78" s="25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78" s="1"/>
    </row>
    <row r="79" spans="14:22">
      <c r="N79" s="20" t="str">
        <v>30/03/2040</v>
      </c>
      <c r="O79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79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79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79" s="22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79" s="1"/>
    </row>
    <row r="80" spans="14:22">
      <c r="N80" s="23" t="str">
        <v>30/06/2040</v>
      </c>
      <c r="O80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80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80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80" s="25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80" s="1"/>
    </row>
    <row r="81" spans="14:22">
      <c r="N81" s="20" t="str">
        <v>30/09/2040</v>
      </c>
      <c r="O81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81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81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81" s="22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81" s="1"/>
    </row>
    <row r="82" spans="14:22">
      <c r="N82" s="23" t="str">
        <v>30/12/2040</v>
      </c>
      <c r="O82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82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82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82" s="25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82" s="1"/>
    </row>
    <row r="83" spans="14:22">
      <c r="N83" s="20" t="str">
        <v>30/03/2041</v>
      </c>
      <c r="O83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83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83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83" s="22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83" s="1"/>
    </row>
    <row r="84" spans="14:22">
      <c r="N84" s="23" t="str">
        <v>30/06/2041</v>
      </c>
      <c r="O84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84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84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84" s="25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84" s="1"/>
    </row>
    <row r="85" spans="14:22">
      <c r="N85" s="20" t="str">
        <v>30/09/2041</v>
      </c>
      <c r="O85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85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85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85" s="22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85" s="1"/>
    </row>
    <row r="86" spans="14:22">
      <c r="N86" s="23" t="str">
        <v>30/12/2041</v>
      </c>
      <c r="O86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86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86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86" s="25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86" s="1"/>
    </row>
    <row r="87" spans="14:22">
      <c r="N87" s="20" t="str">
        <v>30/03/2042</v>
      </c>
      <c r="O87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87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87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87" s="22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87" s="1"/>
    </row>
    <row r="88" spans="14:22">
      <c r="N88" s="23" t="str">
        <v>30/06/2042</v>
      </c>
      <c r="O88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88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88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88" s="25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88" s="1"/>
    </row>
    <row r="89" spans="14:22">
      <c r="N89" s="20" t="str">
        <v>30/09/2042</v>
      </c>
      <c r="O89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89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89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89" s="22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89" s="1"/>
    </row>
    <row r="90" spans="14:22">
      <c r="N90" s="23" t="str">
        <v>30/12/2042</v>
      </c>
      <c r="O90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90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90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90" s="25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90" s="1"/>
    </row>
    <row r="91" spans="14:22">
      <c r="N91" s="20" t="str">
        <v>30/03/2043</v>
      </c>
      <c r="O91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91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91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91" s="22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91" s="1"/>
    </row>
    <row r="92" spans="14:22">
      <c r="N92" s="23" t="str">
        <v>30/06/2043</v>
      </c>
      <c r="O92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92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92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92" s="25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92" s="1"/>
    </row>
    <row r="93" spans="14:22">
      <c r="N93" s="20" t="str">
        <v>30/09/2043</v>
      </c>
      <c r="O93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93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93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93" s="22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93" s="1"/>
    </row>
    <row r="94" spans="14:22">
      <c r="N94" s="23" t="str">
        <v>30/12/2043</v>
      </c>
      <c r="O94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94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94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94" s="25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94" s="1"/>
    </row>
    <row r="95" spans="14:22">
      <c r="N95" s="20" t="str">
        <v>30/03/2044</v>
      </c>
      <c r="O95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95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95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95" s="22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95" s="1"/>
    </row>
    <row r="96" spans="14:22">
      <c r="N96" s="23" t="str">
        <v>30/06/2044</v>
      </c>
      <c r="O96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96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96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96" s="25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96" s="1"/>
    </row>
    <row r="97" spans="14:22">
      <c r="N97" s="20" t="str">
        <v>30/09/2044</v>
      </c>
      <c r="O97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97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97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97" s="22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97" s="1"/>
    </row>
    <row r="98" spans="14:22">
      <c r="N98" s="23" t="str">
        <v>30/12/2044</v>
      </c>
      <c r="O98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98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98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98" s="25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98" s="1"/>
    </row>
    <row r="99" spans="14:22">
      <c r="N99" s="20" t="str">
        <v>30/03/2045</v>
      </c>
      <c r="O99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99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99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99" s="22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99" s="1"/>
    </row>
    <row r="100" spans="14:22">
      <c r="N100" s="23" t="str">
        <v>30/06/2045</v>
      </c>
      <c r="O100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100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100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100" s="25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100" s="1"/>
    </row>
    <row r="101" spans="14:22">
      <c r="N101" s="20" t="str">
        <v>30/09/2045</v>
      </c>
      <c r="O101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101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101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101" s="22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101" s="1"/>
    </row>
    <row r="102" spans="14:22">
      <c r="N102" s="23" t="str">
        <v>30/12/2045</v>
      </c>
      <c r="O102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102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102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102" s="25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102" s="1"/>
    </row>
    <row r="103" spans="14:22">
      <c r="N103" s="20" t="str">
        <v>30/03/2046</v>
      </c>
      <c r="O103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103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103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103" s="22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103" s="1"/>
    </row>
    <row r="104" spans="14:22">
      <c r="N104" s="23" t="str">
        <v>30/06/2046</v>
      </c>
      <c r="O104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104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104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104" s="25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104" s="1"/>
    </row>
    <row r="105" spans="14:22">
      <c r="N105" s="20" t="str">
        <v>30/09/2046</v>
      </c>
      <c r="O105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105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105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105" s="22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105" s="1"/>
    </row>
    <row r="106" spans="14:22">
      <c r="N106" s="23" t="str">
        <v>30/12/2046</v>
      </c>
      <c r="O106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106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106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106" s="25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106" s="1"/>
    </row>
    <row r="107" spans="14:22">
      <c r="N107" s="20" t="str">
        <v>30/03/2047</v>
      </c>
      <c r="O107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107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107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107" s="22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107" s="1"/>
    </row>
    <row r="108" spans="14:22">
      <c r="N108" s="23" t="str">
        <v>30/06/2047</v>
      </c>
      <c r="O108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108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108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108" s="25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108" s="1"/>
    </row>
    <row r="109" spans="14:22">
      <c r="N109" s="20" t="str">
        <v>30/09/2047</v>
      </c>
      <c r="O109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109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109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109" s="22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109" s="1"/>
    </row>
    <row r="110" spans="14:22">
      <c r="N110" s="23" t="str">
        <v>30/12/2047</v>
      </c>
      <c r="O110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110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110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110" s="25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110" s="1"/>
    </row>
    <row r="111" spans="14:22">
      <c r="N111" s="20" t="str">
        <v>30/03/2048</v>
      </c>
      <c r="O111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111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111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111" s="22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111" s="1"/>
    </row>
    <row r="112" spans="14:22">
      <c r="N112" s="23" t="str">
        <v>30/06/2048</v>
      </c>
      <c r="O112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112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112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112" s="25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112" s="1"/>
    </row>
    <row r="113" spans="14:22">
      <c r="N113" s="20" t="str">
        <v>30/09/2048</v>
      </c>
      <c r="O113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113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113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113" s="22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113" s="1"/>
    </row>
    <row r="114" spans="14:22">
      <c r="N114" s="23" t="str">
        <v>30/12/2048</v>
      </c>
      <c r="O114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114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114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114" s="25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114" s="1"/>
    </row>
    <row r="115" spans="14:22">
      <c r="N115" s="20" t="str">
        <v>30/03/2049</v>
      </c>
      <c r="O115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115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115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115" s="22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115" s="1"/>
    </row>
    <row r="116" spans="14:22">
      <c r="N116" s="23" t="str">
        <v>30/06/2049</v>
      </c>
      <c r="O116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116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116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116" s="25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116" s="1"/>
    </row>
    <row r="117" spans="14:22">
      <c r="N117" s="20" t="str">
        <v>30/09/2049</v>
      </c>
      <c r="O117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117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117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117" s="22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117" s="1"/>
    </row>
    <row r="118" spans="14:22">
      <c r="N118" s="23" t="str">
        <v>30/12/2049</v>
      </c>
      <c r="O118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118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118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118" s="25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118" s="1"/>
    </row>
    <row r="119" spans="14:22">
      <c r="N119" s="20" t="str">
        <v>30/03/2050</v>
      </c>
      <c r="O119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119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119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119" s="22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119" s="1"/>
    </row>
    <row r="120" spans="14:22">
      <c r="N120" s="23" t="str">
        <v>30/06/2050</v>
      </c>
      <c r="O120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120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120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120" s="25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120" s="1"/>
    </row>
    <row r="121" spans="14:22">
      <c r="N121" s="20" t="str">
        <v>30/09/2050</v>
      </c>
      <c r="O121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121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121" s="21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121" s="22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121" s="1"/>
    </row>
    <row r="122" spans="14:22">
      <c r="N122" s="23" t="str">
        <v>31/12/2050</v>
      </c>
      <c r="O122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P122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Q122" s="2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R122" s="25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  <c r="V122" s="1"/>
    </row>
  </sheetData>
  <phoneticPr fontId="1" type="noConversion"/>
  <dataValidations count="2">
    <dataValidation type="list" allowBlank="1" showInputMessage="1" showErrorMessage="1" sqref="O3:R3" xr:uid="{F048E900-382F-477D-B317-B4544D02416E}">
      <formula1>"zero,df,fwd,swaprate"</formula1>
    </dataValidation>
    <dataValidation type="list" allowBlank="1" showInputMessage="1" showErrorMessage="1" sqref="S3 O2:R2" xr:uid="{229DE78D-10AA-4872-BA70-E71683A03D0D}">
      <formula1>$B$10:$B$28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EDF71-AA5F-46AD-AF32-CE792B23A995}">
  <sheetPr codeName="Sheet3"/>
  <dimension ref="A2:H122"/>
  <sheetViews>
    <sheetView workbookViewId="0">
      <selection activeCell="H24" sqref="H24"/>
    </sheetView>
  </sheetViews>
  <sheetFormatPr defaultRowHeight="15"/>
  <cols>
    <col min="1" max="1" width="15.7109375" customWidth="1"/>
    <col min="2" max="2" width="11.42578125" bestFit="1" customWidth="1"/>
    <col min="5" max="5" width="11" bestFit="1" customWidth="1"/>
    <col min="7" max="7" width="11.85546875" bestFit="1" customWidth="1"/>
    <col min="8" max="8" width="28.85546875" customWidth="1"/>
  </cols>
  <sheetData>
    <row r="2" spans="1:8">
      <c r="A2" s="6" t="s">
        <v>1</v>
      </c>
      <c r="B2" s="7">
        <v>44561</v>
      </c>
      <c r="D2" s="6" t="s">
        <v>34</v>
      </c>
      <c r="E2" s="26" t="s">
        <v>0</v>
      </c>
      <c r="G2" s="6" t="s">
        <v>45</v>
      </c>
      <c r="H2" s="15" t="s">
        <v>67</v>
      </c>
    </row>
    <row r="3" spans="1:8">
      <c r="A3" s="6" t="s">
        <v>2</v>
      </c>
      <c r="B3" s="8" t="str">
        <f>MarketHandle</f>
        <v>baseMarket</v>
      </c>
      <c r="D3" s="6" t="s">
        <v>35</v>
      </c>
      <c r="E3" s="27">
        <v>55153</v>
      </c>
      <c r="G3" s="6" t="s">
        <v>41</v>
      </c>
      <c r="H3" s="16" t="s">
        <v>70</v>
      </c>
    </row>
    <row r="4" spans="1:8">
      <c r="D4" s="6" t="s">
        <v>37</v>
      </c>
      <c r="E4" s="15" t="s">
        <v>38</v>
      </c>
      <c r="G4" s="6" t="s">
        <v>43</v>
      </c>
      <c r="H4" s="15" t="s">
        <v>38</v>
      </c>
    </row>
    <row r="5" spans="1:8">
      <c r="D5" s="6" t="s">
        <v>40</v>
      </c>
      <c r="E5" s="16" t="s">
        <v>44</v>
      </c>
      <c r="G5" s="17"/>
      <c r="H5" s="1">
        <v>1</v>
      </c>
    </row>
    <row r="6" spans="1:8">
      <c r="D6" s="6" t="s">
        <v>36</v>
      </c>
      <c r="E6" s="15" t="s">
        <v>39</v>
      </c>
      <c r="G6" s="6" t="str">
        <f t="array" ref="G6:G122">ScheduleCreate(E2,E3,E4,E5,E6)</f>
        <v>Dates</v>
      </c>
      <c r="H6" t="str">
        <f t="array" ref="H6:H122">marketChartPoints(MarketHandle,H2,H3,G7:G122,H4)</f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7" spans="1:8">
      <c r="G7" t="str">
        <v>30/03/2022</v>
      </c>
      <c r="H7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8" spans="1:8">
      <c r="G8" t="str">
        <v>30/06/2022</v>
      </c>
      <c r="H8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9" spans="1:8">
      <c r="G9" t="str">
        <v>30/09/2022</v>
      </c>
      <c r="H9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10" spans="1:8">
      <c r="G10" t="str">
        <v>30/12/2022</v>
      </c>
      <c r="H10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11" spans="1:8">
      <c r="G11" t="str">
        <v>30/03/2023</v>
      </c>
      <c r="H11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12" spans="1:8">
      <c r="G12" t="str">
        <v>30/06/2023</v>
      </c>
      <c r="H12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13" spans="1:8">
      <c r="G13" t="str">
        <v>30/09/2023</v>
      </c>
      <c r="H13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14" spans="1:8">
      <c r="G14" t="str">
        <v>30/12/2023</v>
      </c>
      <c r="H14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15" spans="1:8">
      <c r="G15" t="str">
        <v>30/03/2024</v>
      </c>
      <c r="H15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16" spans="1:8">
      <c r="G16" t="str">
        <v>30/06/2024</v>
      </c>
      <c r="H16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17" spans="7:8">
      <c r="G17" t="str">
        <v>30/09/2024</v>
      </c>
      <c r="H17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18" spans="7:8">
      <c r="G18" t="str">
        <v>30/12/2024</v>
      </c>
      <c r="H18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19" spans="7:8">
      <c r="G19" t="str">
        <v>30/03/2025</v>
      </c>
      <c r="H19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20" spans="7:8">
      <c r="G20" t="str">
        <v>30/06/2025</v>
      </c>
      <c r="H20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21" spans="7:8">
      <c r="G21" t="str">
        <v>30/09/2025</v>
      </c>
      <c r="H21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22" spans="7:8">
      <c r="G22" t="str">
        <v>30/12/2025</v>
      </c>
      <c r="H22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23" spans="7:8">
      <c r="G23" t="str">
        <v>30/03/2026</v>
      </c>
      <c r="H23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24" spans="7:8">
      <c r="G24" t="str">
        <v>30/06/2026</v>
      </c>
      <c r="H24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25" spans="7:8">
      <c r="G25" t="str">
        <v>30/09/2026</v>
      </c>
      <c r="H25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26" spans="7:8">
      <c r="G26" t="str">
        <v>30/12/2026</v>
      </c>
      <c r="H26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27" spans="7:8">
      <c r="G27" t="str">
        <v>30/03/2027</v>
      </c>
      <c r="H27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28" spans="7:8">
      <c r="G28" t="str">
        <v>30/06/2027</v>
      </c>
      <c r="H28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29" spans="7:8">
      <c r="G29" t="str">
        <v>30/09/2027</v>
      </c>
      <c r="H29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30" spans="7:8">
      <c r="G30" t="str">
        <v>30/12/2027</v>
      </c>
      <c r="H30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31" spans="7:8">
      <c r="G31" t="str">
        <v>30/03/2028</v>
      </c>
      <c r="H31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32" spans="7:8">
      <c r="G32" t="str">
        <v>30/06/2028</v>
      </c>
      <c r="H32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33" spans="7:8">
      <c r="G33" t="str">
        <v>30/09/2028</v>
      </c>
      <c r="H33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34" spans="7:8">
      <c r="G34" t="str">
        <v>30/12/2028</v>
      </c>
      <c r="H34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35" spans="7:8">
      <c r="G35" t="str">
        <v>30/03/2029</v>
      </c>
      <c r="H35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36" spans="7:8">
      <c r="G36" t="str">
        <v>30/06/2029</v>
      </c>
      <c r="H36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37" spans="7:8">
      <c r="G37" t="str">
        <v>30/09/2029</v>
      </c>
      <c r="H37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38" spans="7:8">
      <c r="G38" t="str">
        <v>30/12/2029</v>
      </c>
      <c r="H38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39" spans="7:8">
      <c r="G39" t="str">
        <v>30/03/2030</v>
      </c>
      <c r="H39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40" spans="7:8">
      <c r="G40" t="str">
        <v>30/06/2030</v>
      </c>
      <c r="H40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41" spans="7:8">
      <c r="G41" t="str">
        <v>30/09/2030</v>
      </c>
      <c r="H41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42" spans="7:8">
      <c r="G42" t="str">
        <v>30/12/2030</v>
      </c>
      <c r="H42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43" spans="7:8">
      <c r="G43" t="str">
        <v>30/03/2031</v>
      </c>
      <c r="H43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44" spans="7:8">
      <c r="G44" t="str">
        <v>30/06/2031</v>
      </c>
      <c r="H44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45" spans="7:8">
      <c r="G45" t="str">
        <v>30/09/2031</v>
      </c>
      <c r="H45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46" spans="7:8">
      <c r="G46" t="str">
        <v>30/12/2031</v>
      </c>
      <c r="H46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47" spans="7:8">
      <c r="G47" t="str">
        <v>30/03/2032</v>
      </c>
      <c r="H47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48" spans="7:8">
      <c r="G48" t="str">
        <v>30/06/2032</v>
      </c>
      <c r="H48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49" spans="7:8">
      <c r="G49" t="str">
        <v>30/09/2032</v>
      </c>
      <c r="H49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50" spans="7:8">
      <c r="G50" t="str">
        <v>30/12/2032</v>
      </c>
      <c r="H50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51" spans="7:8">
      <c r="G51" t="str">
        <v>30/03/2033</v>
      </c>
      <c r="H51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52" spans="7:8">
      <c r="G52" t="str">
        <v>30/06/2033</v>
      </c>
      <c r="H52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53" spans="7:8">
      <c r="G53" t="str">
        <v>30/09/2033</v>
      </c>
      <c r="H53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54" spans="7:8">
      <c r="G54" t="str">
        <v>30/12/2033</v>
      </c>
      <c r="H54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55" spans="7:8">
      <c r="G55" t="str">
        <v>30/03/2034</v>
      </c>
      <c r="H55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56" spans="7:8">
      <c r="G56" t="str">
        <v>30/06/2034</v>
      </c>
      <c r="H56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57" spans="7:8">
      <c r="G57" t="str">
        <v>30/09/2034</v>
      </c>
      <c r="H57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58" spans="7:8">
      <c r="G58" t="str">
        <v>30/12/2034</v>
      </c>
      <c r="H58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59" spans="7:8">
      <c r="G59" t="str">
        <v>30/03/2035</v>
      </c>
      <c r="H59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60" spans="7:8">
      <c r="G60" t="str">
        <v>30/06/2035</v>
      </c>
      <c r="H60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61" spans="7:8">
      <c r="G61" t="str">
        <v>30/09/2035</v>
      </c>
      <c r="H61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62" spans="7:8">
      <c r="G62" t="str">
        <v>30/12/2035</v>
      </c>
      <c r="H62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63" spans="7:8">
      <c r="G63" t="str">
        <v>30/03/2036</v>
      </c>
      <c r="H63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64" spans="7:8">
      <c r="G64" t="str">
        <v>30/06/2036</v>
      </c>
      <c r="H64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65" spans="7:8">
      <c r="G65" t="str">
        <v>30/09/2036</v>
      </c>
      <c r="H65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66" spans="7:8">
      <c r="G66" t="str">
        <v>30/12/2036</v>
      </c>
      <c r="H66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67" spans="7:8">
      <c r="G67" t="str">
        <v>30/03/2037</v>
      </c>
      <c r="H67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68" spans="7:8">
      <c r="G68" t="str">
        <v>30/06/2037</v>
      </c>
      <c r="H68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69" spans="7:8">
      <c r="G69" t="str">
        <v>30/09/2037</v>
      </c>
      <c r="H69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70" spans="7:8">
      <c r="G70" t="str">
        <v>30/12/2037</v>
      </c>
      <c r="H70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71" spans="7:8">
      <c r="G71" t="str">
        <v>30/03/2038</v>
      </c>
      <c r="H71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72" spans="7:8">
      <c r="G72" t="str">
        <v>30/06/2038</v>
      </c>
      <c r="H72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73" spans="7:8">
      <c r="G73" t="str">
        <v>30/09/2038</v>
      </c>
      <c r="H73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74" spans="7:8">
      <c r="G74" t="str">
        <v>30/12/2038</v>
      </c>
      <c r="H74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75" spans="7:8">
      <c r="G75" t="str">
        <v>30/03/2039</v>
      </c>
      <c r="H75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76" spans="7:8">
      <c r="G76" t="str">
        <v>30/06/2039</v>
      </c>
      <c r="H76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77" spans="7:8">
      <c r="G77" t="str">
        <v>30/09/2039</v>
      </c>
      <c r="H77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78" spans="7:8">
      <c r="G78" t="str">
        <v>30/12/2039</v>
      </c>
      <c r="H78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79" spans="7:8">
      <c r="G79" t="str">
        <v>30/03/2040</v>
      </c>
      <c r="H79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80" spans="7:8">
      <c r="G80" t="str">
        <v>30/06/2040</v>
      </c>
      <c r="H80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81" spans="7:8">
      <c r="G81" t="str">
        <v>30/09/2040</v>
      </c>
      <c r="H81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82" spans="7:8">
      <c r="G82" t="str">
        <v>30/12/2040</v>
      </c>
      <c r="H82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83" spans="7:8">
      <c r="G83" t="str">
        <v>30/03/2041</v>
      </c>
      <c r="H83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84" spans="7:8">
      <c r="G84" t="str">
        <v>30/06/2041</v>
      </c>
      <c r="H84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85" spans="7:8">
      <c r="G85" t="str">
        <v>30/09/2041</v>
      </c>
      <c r="H85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86" spans="7:8">
      <c r="G86" t="str">
        <v>30/12/2041</v>
      </c>
      <c r="H86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87" spans="7:8">
      <c r="G87" t="str">
        <v>30/03/2042</v>
      </c>
      <c r="H87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88" spans="7:8">
      <c r="G88" t="str">
        <v>30/06/2042</v>
      </c>
      <c r="H88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89" spans="7:8">
      <c r="G89" t="str">
        <v>30/09/2042</v>
      </c>
      <c r="H89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90" spans="7:8">
      <c r="G90" t="str">
        <v>30/12/2042</v>
      </c>
      <c r="H90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91" spans="7:8">
      <c r="G91" t="str">
        <v>30/03/2043</v>
      </c>
      <c r="H91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92" spans="7:8">
      <c r="G92" t="str">
        <v>30/06/2043</v>
      </c>
      <c r="H92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93" spans="7:8">
      <c r="G93" t="str">
        <v>30/09/2043</v>
      </c>
      <c r="H93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94" spans="7:8">
      <c r="G94" t="str">
        <v>30/12/2043</v>
      </c>
      <c r="H94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95" spans="7:8">
      <c r="G95" t="str">
        <v>30/03/2044</v>
      </c>
      <c r="H95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96" spans="7:8">
      <c r="G96" t="str">
        <v>30/06/2044</v>
      </c>
      <c r="H96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97" spans="7:8">
      <c r="G97" t="str">
        <v>30/09/2044</v>
      </c>
      <c r="H97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98" spans="7:8">
      <c r="G98" t="str">
        <v>30/12/2044</v>
      </c>
      <c r="H98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99" spans="7:8">
      <c r="G99" t="str">
        <v>30/03/2045</v>
      </c>
      <c r="H99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100" spans="7:8">
      <c r="G100" t="str">
        <v>30/06/2045</v>
      </c>
      <c r="H100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101" spans="7:8">
      <c r="G101" t="str">
        <v>30/09/2045</v>
      </c>
      <c r="H101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102" spans="7:8">
      <c r="G102" t="str">
        <v>30/12/2045</v>
      </c>
      <c r="H102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103" spans="7:8">
      <c r="G103" t="str">
        <v>30/03/2046</v>
      </c>
      <c r="H103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104" spans="7:8">
      <c r="G104" t="str">
        <v>30/06/2046</v>
      </c>
      <c r="H104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105" spans="7:8">
      <c r="G105" t="str">
        <v>30/09/2046</v>
      </c>
      <c r="H105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106" spans="7:8">
      <c r="G106" t="str">
        <v>30/12/2046</v>
      </c>
      <c r="H106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107" spans="7:8">
      <c r="G107" t="str">
        <v>30/03/2047</v>
      </c>
      <c r="H107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108" spans="7:8">
      <c r="G108" t="str">
        <v>30/06/2047</v>
      </c>
      <c r="H108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109" spans="7:8">
      <c r="G109" t="str">
        <v>30/09/2047</v>
      </c>
      <c r="H109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110" spans="7:8">
      <c r="G110" t="str">
        <v>30/12/2047</v>
      </c>
      <c r="H110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111" spans="7:8">
      <c r="G111" t="str">
        <v>30/03/2048</v>
      </c>
      <c r="H111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112" spans="7:8">
      <c r="G112" t="str">
        <v>30/06/2048</v>
      </c>
      <c r="H112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113" spans="7:8">
      <c r="G113" t="str">
        <v>30/09/2048</v>
      </c>
      <c r="H113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114" spans="7:8">
      <c r="G114" t="str">
        <v>30/12/2048</v>
      </c>
      <c r="H114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115" spans="7:8">
      <c r="G115" t="str">
        <v>30/03/2049</v>
      </c>
      <c r="H115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116" spans="7:8">
      <c r="G116" t="str">
        <v>30/06/2049</v>
      </c>
      <c r="H116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117" spans="7:8">
      <c r="G117" t="str">
        <v>30/09/2049</v>
      </c>
      <c r="H117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118" spans="7:8">
      <c r="G118" t="str">
        <v>30/12/2049</v>
      </c>
      <c r="H118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119" spans="7:8">
      <c r="G119" t="str">
        <v>30/03/2050</v>
      </c>
      <c r="H119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120" spans="7:8">
      <c r="G120" t="str">
        <v>30/06/2050</v>
      </c>
      <c r="H120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121" spans="7:8">
      <c r="G121" t="str">
        <v>30/09/2050</v>
      </c>
      <c r="H121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  <row r="122" spans="7:8">
      <c r="G122" t="str">
        <v>31/12/2050</v>
      </c>
      <c r="H122" s="34" t="str">
        <v>AttributeError: type object 'YieldCurve' has no attribute 'Charts'
    df = mkt.YieldCurve.Charts(curve,ratesType, dates ,tenor)
  File "c:\users\zongjie\source\repos\zongjieshen\ratesmarket\pythonmarketanalytics\MarketAddin.py", line 71, in marketChartPoints
    ret = func(*args)
  File "C:\Users\Zongjie\anaconda3\lib\site-packages\xlwings\udfs.py", line 499, in call_udf
    res = call_udf(script, fname, args, this_workbook, FromVariant(caller))
  File "C:\Users\Zongjie\anaconda3\lib\site-packages\xlwings\server.py", line 198, in CallUDF
    return func(*args)
  File "C:\Users\Zongjie\anaconda3\lib\site-packages\win32com\server\policy.py", line 586, in _invokeex_
    return S_OK, -1, self._invokeex_(dispid, lcid, wFlags, args, None, None)
  File "C:\Users\Zongjie\anaconda3\lib\site-packages\win32com\server\policy.py", line 283, in _invoke_
    return self._invoke_(dispid, lcid, wFlags, args)
  File "C:\Users\Zongjie\anaconda3\lib\site-packages\win32com\server\policy.py", line 278, in _Invoke_</v>
      </c>
    </row>
  </sheetData>
  <dataValidations count="2">
    <dataValidation type="list" allowBlank="1" showInputMessage="1" showErrorMessage="1" sqref="H2" xr:uid="{25EF031A-E410-4F0E-AED4-410230E1763B}">
      <formula1>$B$10:$B$28</formula1>
    </dataValidation>
    <dataValidation type="list" allowBlank="1" showInputMessage="1" showErrorMessage="1" sqref="H3" xr:uid="{E26BB0FB-7B5A-49CF-A561-C587047B1977}">
      <formula1>"Hazard,SurvivalProb"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30FCA-EA15-48CD-BB55-7065C6674A8F}">
  <sheetPr codeName="Sheet2"/>
  <dimension ref="A2:X47"/>
  <sheetViews>
    <sheetView workbookViewId="0">
      <selection activeCell="D2" sqref="D2:E22"/>
    </sheetView>
  </sheetViews>
  <sheetFormatPr defaultRowHeight="15"/>
  <cols>
    <col min="1" max="1" width="15.140625" customWidth="1"/>
    <col min="2" max="2" width="15.5703125" customWidth="1"/>
    <col min="4" max="4" width="12.5703125" bestFit="1" customWidth="1"/>
    <col min="5" max="5" width="40.140625" style="4" customWidth="1"/>
  </cols>
  <sheetData>
    <row r="2" spans="1:5">
      <c r="A2" s="6" t="s">
        <v>46</v>
      </c>
      <c r="B2" s="8" t="str">
        <f>MarketHandle</f>
        <v>baseMarket</v>
      </c>
      <c r="D2" s="6" t="str">
        <f t="array" ref="D2:E22">marketDv01AtEachpillar(B2,B3,B4,B5,B6)</f>
        <v>Pillar</v>
      </c>
      <c r="E2" s="6" t="str">
        <v>Delta</v>
      </c>
    </row>
    <row r="3" spans="1:5">
      <c r="A3" s="6" t="s">
        <v>51</v>
      </c>
      <c r="B3" s="15" t="s">
        <v>10</v>
      </c>
      <c r="D3" s="30" t="str">
        <v>AUDBILL1M</v>
      </c>
      <c r="E3" s="31">
        <v>-9.5888164809439331</v>
      </c>
    </row>
    <row r="4" spans="1:5">
      <c r="A4" s="6" t="s">
        <v>48</v>
      </c>
      <c r="B4" s="16" t="s">
        <v>47</v>
      </c>
      <c r="D4" s="32" t="str">
        <v>AUDBILL2M</v>
      </c>
      <c r="E4" s="33">
        <v>-17.259275931399316</v>
      </c>
    </row>
    <row r="5" spans="1:5">
      <c r="A5" s="6" t="s">
        <v>49</v>
      </c>
      <c r="B5" s="28">
        <v>1E-4</v>
      </c>
      <c r="D5" s="30" t="str">
        <v>AUDBILL3M</v>
      </c>
      <c r="E5" s="31">
        <v>-25.748612891416997</v>
      </c>
    </row>
    <row r="6" spans="1:5">
      <c r="A6" s="6" t="s">
        <v>50</v>
      </c>
      <c r="B6" s="29">
        <v>1000000</v>
      </c>
      <c r="D6" s="32" t="str">
        <v>AUDBILL6M</v>
      </c>
      <c r="E6" s="33">
        <v>-50.62987534631975</v>
      </c>
    </row>
    <row r="7" spans="1:5">
      <c r="D7" s="30" t="str">
        <v>AUDSwap1Y</v>
      </c>
      <c r="E7" s="31">
        <v>-99.801697180140764</v>
      </c>
    </row>
    <row r="8" spans="1:5">
      <c r="D8" s="32" t="str">
        <v>AUDSwap2Y</v>
      </c>
      <c r="E8" s="33">
        <v>-198.50988223752938</v>
      </c>
    </row>
    <row r="9" spans="1:5">
      <c r="D9" s="30" t="str">
        <v>AUDSwap3Y</v>
      </c>
      <c r="E9" s="31">
        <v>-296.2310449766228</v>
      </c>
    </row>
    <row r="10" spans="1:5">
      <c r="D10" s="32" t="str">
        <v>AUDSwap4Y</v>
      </c>
      <c r="E10" s="33">
        <v>-389.97758126899134</v>
      </c>
    </row>
    <row r="11" spans="1:5">
      <c r="D11" s="30" t="str">
        <v>AUDSwap5Y</v>
      </c>
      <c r="E11" s="31">
        <v>-482.14794816891663</v>
      </c>
    </row>
    <row r="12" spans="1:5">
      <c r="D12" s="32" t="str">
        <v>AUDSwap6Y</v>
      </c>
      <c r="E12" s="33">
        <v>-572.52974976843689</v>
      </c>
    </row>
    <row r="13" spans="1:5">
      <c r="D13" s="30" t="str">
        <v>AUDSwap7Y</v>
      </c>
      <c r="E13" s="31">
        <v>-661.06891265523154</v>
      </c>
    </row>
    <row r="14" spans="1:5">
      <c r="D14" s="32" t="str">
        <v>AUDSwap8Y</v>
      </c>
      <c r="E14" s="33">
        <v>-747.31021693476941</v>
      </c>
    </row>
    <row r="15" spans="1:5">
      <c r="D15" s="30" t="str">
        <v>AUDSwap9Y</v>
      </c>
      <c r="E15" s="31">
        <v>-832.00280300260056</v>
      </c>
    </row>
    <row r="16" spans="1:5">
      <c r="D16" s="32" t="str">
        <v>AUDSwap10Y</v>
      </c>
      <c r="E16" s="33">
        <v>-914.01474157650955</v>
      </c>
    </row>
    <row r="17" spans="4:24">
      <c r="D17" s="30" t="str">
        <v>AUDSwap12Y</v>
      </c>
      <c r="E17" s="31">
        <v>-1072.6310907976003</v>
      </c>
    </row>
    <row r="18" spans="4:24">
      <c r="D18" s="32" t="str">
        <v>AUDSwap15Y</v>
      </c>
      <c r="E18" s="33">
        <v>-1296.9935065332102</v>
      </c>
    </row>
    <row r="19" spans="4:24">
      <c r="D19" s="30" t="str">
        <v>AUDSwap20Y</v>
      </c>
      <c r="E19" s="31">
        <v>-1637.9684751841705</v>
      </c>
    </row>
    <row r="20" spans="4:24">
      <c r="D20" s="32" t="str">
        <v>AUDSwap25Y</v>
      </c>
      <c r="E20" s="33">
        <v>-1945.1718917408725</v>
      </c>
    </row>
    <row r="21" spans="4:24">
      <c r="D21" s="30" t="str">
        <v>AUDSwap30Y</v>
      </c>
      <c r="E21" s="31">
        <v>-2226.9320450556697</v>
      </c>
    </row>
    <row r="22" spans="4:24">
      <c r="D22" s="32" t="str">
        <v>AUDSwap50Y</v>
      </c>
      <c r="E22" s="33">
        <v>-3114.0993121607462</v>
      </c>
    </row>
    <row r="23" spans="4:24">
      <c r="D23" s="30"/>
      <c r="E23" s="31"/>
    </row>
    <row r="24" spans="4:24">
      <c r="D24" s="32"/>
      <c r="E24" s="33"/>
    </row>
    <row r="25" spans="4:24">
      <c r="D25" s="30"/>
      <c r="E25" s="31"/>
    </row>
    <row r="26" spans="4:24">
      <c r="D26" s="32"/>
      <c r="E26" s="33"/>
    </row>
    <row r="27" spans="4:24">
      <c r="D27" s="30"/>
      <c r="E27" s="31"/>
      <c r="M27" t="str">
        <f t="array" ref="M27:X47">marketItempillars(B2,YieldCurve!B14)</f>
        <v xml:space="preserve">Unexpected Python Error: TypeError: must be real number, not DateAdjuster
</v>
      </c>
      <c r="N27" t="str">
        <v xml:space="preserve">Unexpected Python Error: TypeError: must be real number, not DateAdjuster
</v>
      </c>
      <c r="O27" t="str">
        <v xml:space="preserve">Unexpected Python Error: TypeError: must be real number, not DateAdjuster
</v>
      </c>
      <c r="P27" t="str">
        <v xml:space="preserve">Unexpected Python Error: TypeError: must be real number, not DateAdjuster
</v>
      </c>
      <c r="Q27" t="str">
        <v xml:space="preserve">Unexpected Python Error: TypeError: must be real number, not DateAdjuster
</v>
      </c>
      <c r="R27" t="str">
        <v xml:space="preserve">Unexpected Python Error: TypeError: must be real number, not DateAdjuster
</v>
      </c>
      <c r="S27" t="str">
        <v xml:space="preserve">Unexpected Python Error: TypeError: must be real number, not DateAdjuster
</v>
      </c>
      <c r="T27" t="str">
        <v xml:space="preserve">Unexpected Python Error: TypeError: must be real number, not DateAdjuster
</v>
      </c>
      <c r="U27" t="str">
        <v xml:space="preserve">Unexpected Python Error: TypeError: must be real number, not DateAdjuster
</v>
      </c>
      <c r="V27" t="str">
        <v xml:space="preserve">Unexpected Python Error: TypeError: must be real number, not DateAdjuster
</v>
      </c>
      <c r="W27" t="str">
        <v xml:space="preserve">Unexpected Python Error: TypeError: must be real number, not DateAdjuster
</v>
      </c>
      <c r="X27" t="str">
        <v xml:space="preserve">Unexpected Python Error: TypeError: must be real number, not DateAdjuster
</v>
      </c>
    </row>
    <row r="28" spans="4:24">
      <c r="D28" s="32"/>
      <c r="E28" s="33"/>
      <c r="M28" t="str">
        <v xml:space="preserve">Unexpected Python Error: TypeError: must be real number, not DateAdjuster
</v>
      </c>
      <c r="N28" t="str">
        <v xml:space="preserve">Unexpected Python Error: TypeError: must be real number, not DateAdjuster
</v>
      </c>
      <c r="O28" t="str">
        <v xml:space="preserve">Unexpected Python Error: TypeError: must be real number, not DateAdjuster
</v>
      </c>
      <c r="P28" t="str">
        <v xml:space="preserve">Unexpected Python Error: TypeError: must be real number, not DateAdjuster
</v>
      </c>
      <c r="Q28" t="str">
        <v xml:space="preserve">Unexpected Python Error: TypeError: must be real number, not DateAdjuster
</v>
      </c>
      <c r="R28" t="str">
        <v xml:space="preserve">Unexpected Python Error: TypeError: must be real number, not DateAdjuster
</v>
      </c>
      <c r="S28" t="str">
        <v xml:space="preserve">Unexpected Python Error: TypeError: must be real number, not DateAdjuster
</v>
      </c>
      <c r="T28" t="str">
        <v xml:space="preserve">Unexpected Python Error: TypeError: must be real number, not DateAdjuster
</v>
      </c>
      <c r="U28" t="str">
        <v xml:space="preserve">Unexpected Python Error: TypeError: must be real number, not DateAdjuster
</v>
      </c>
      <c r="V28" t="str">
        <v xml:space="preserve">Unexpected Python Error: TypeError: must be real number, not DateAdjuster
</v>
      </c>
      <c r="W28" t="str">
        <v xml:space="preserve">Unexpected Python Error: TypeError: must be real number, not DateAdjuster
</v>
      </c>
      <c r="X28" t="str">
        <v xml:space="preserve">Unexpected Python Error: TypeError: must be real number, not DateAdjuster
</v>
      </c>
    </row>
    <row r="29" spans="4:24">
      <c r="D29" s="30"/>
      <c r="E29" s="31"/>
      <c r="M29" t="str">
        <v xml:space="preserve">Unexpected Python Error: TypeError: must be real number, not DateAdjuster
</v>
      </c>
      <c r="N29" t="str">
        <v xml:space="preserve">Unexpected Python Error: TypeError: must be real number, not DateAdjuster
</v>
      </c>
      <c r="O29" t="str">
        <v xml:space="preserve">Unexpected Python Error: TypeError: must be real number, not DateAdjuster
</v>
      </c>
      <c r="P29" t="str">
        <v xml:space="preserve">Unexpected Python Error: TypeError: must be real number, not DateAdjuster
</v>
      </c>
      <c r="Q29" t="str">
        <v xml:space="preserve">Unexpected Python Error: TypeError: must be real number, not DateAdjuster
</v>
      </c>
      <c r="R29" t="str">
        <v xml:space="preserve">Unexpected Python Error: TypeError: must be real number, not DateAdjuster
</v>
      </c>
      <c r="S29" t="str">
        <v xml:space="preserve">Unexpected Python Error: TypeError: must be real number, not DateAdjuster
</v>
      </c>
      <c r="T29" t="str">
        <v xml:space="preserve">Unexpected Python Error: TypeError: must be real number, not DateAdjuster
</v>
      </c>
      <c r="U29" t="str">
        <v xml:space="preserve">Unexpected Python Error: TypeError: must be real number, not DateAdjuster
</v>
      </c>
      <c r="V29" t="str">
        <v xml:space="preserve">Unexpected Python Error: TypeError: must be real number, not DateAdjuster
</v>
      </c>
      <c r="W29" t="str">
        <v xml:space="preserve">Unexpected Python Error: TypeError: must be real number, not DateAdjuster
</v>
      </c>
      <c r="X29" t="str">
        <v xml:space="preserve">Unexpected Python Error: TypeError: must be real number, not DateAdjuster
</v>
      </c>
    </row>
    <row r="30" spans="4:24">
      <c r="M30" t="str">
        <v xml:space="preserve">Unexpected Python Error: TypeError: must be real number, not DateAdjuster
</v>
      </c>
      <c r="N30" t="str">
        <v xml:space="preserve">Unexpected Python Error: TypeError: must be real number, not DateAdjuster
</v>
      </c>
      <c r="O30" t="str">
        <v xml:space="preserve">Unexpected Python Error: TypeError: must be real number, not DateAdjuster
</v>
      </c>
      <c r="P30" t="str">
        <v xml:space="preserve">Unexpected Python Error: TypeError: must be real number, not DateAdjuster
</v>
      </c>
      <c r="Q30" t="str">
        <v xml:space="preserve">Unexpected Python Error: TypeError: must be real number, not DateAdjuster
</v>
      </c>
      <c r="R30" t="str">
        <v xml:space="preserve">Unexpected Python Error: TypeError: must be real number, not DateAdjuster
</v>
      </c>
      <c r="S30" t="str">
        <v xml:space="preserve">Unexpected Python Error: TypeError: must be real number, not DateAdjuster
</v>
      </c>
      <c r="T30" t="str">
        <v xml:space="preserve">Unexpected Python Error: TypeError: must be real number, not DateAdjuster
</v>
      </c>
      <c r="U30" t="str">
        <v xml:space="preserve">Unexpected Python Error: TypeError: must be real number, not DateAdjuster
</v>
      </c>
      <c r="V30" t="str">
        <v xml:space="preserve">Unexpected Python Error: TypeError: must be real number, not DateAdjuster
</v>
      </c>
      <c r="W30" t="str">
        <v xml:space="preserve">Unexpected Python Error: TypeError: must be real number, not DateAdjuster
</v>
      </c>
      <c r="X30" t="str">
        <v xml:space="preserve">Unexpected Python Error: TypeError: must be real number, not DateAdjuster
</v>
      </c>
    </row>
    <row r="31" spans="4:24">
      <c r="M31" t="str">
        <v xml:space="preserve">Unexpected Python Error: TypeError: must be real number, not DateAdjuster
</v>
      </c>
      <c r="N31" t="str">
        <v xml:space="preserve">Unexpected Python Error: TypeError: must be real number, not DateAdjuster
</v>
      </c>
      <c r="O31" t="str">
        <v xml:space="preserve">Unexpected Python Error: TypeError: must be real number, not DateAdjuster
</v>
      </c>
      <c r="P31" t="str">
        <v xml:space="preserve">Unexpected Python Error: TypeError: must be real number, not DateAdjuster
</v>
      </c>
      <c r="Q31" t="str">
        <v xml:space="preserve">Unexpected Python Error: TypeError: must be real number, not DateAdjuster
</v>
      </c>
      <c r="R31" t="str">
        <v xml:space="preserve">Unexpected Python Error: TypeError: must be real number, not DateAdjuster
</v>
      </c>
      <c r="S31" t="str">
        <v xml:space="preserve">Unexpected Python Error: TypeError: must be real number, not DateAdjuster
</v>
      </c>
      <c r="T31" t="str">
        <v xml:space="preserve">Unexpected Python Error: TypeError: must be real number, not DateAdjuster
</v>
      </c>
      <c r="U31" t="str">
        <v xml:space="preserve">Unexpected Python Error: TypeError: must be real number, not DateAdjuster
</v>
      </c>
      <c r="V31" t="str">
        <v xml:space="preserve">Unexpected Python Error: TypeError: must be real number, not DateAdjuster
</v>
      </c>
      <c r="W31" t="str">
        <v xml:space="preserve">Unexpected Python Error: TypeError: must be real number, not DateAdjuster
</v>
      </c>
      <c r="X31" t="str">
        <v xml:space="preserve">Unexpected Python Error: TypeError: must be real number, not DateAdjuster
</v>
      </c>
    </row>
    <row r="32" spans="4:24">
      <c r="M32" t="str">
        <v xml:space="preserve">Unexpected Python Error: TypeError: must be real number, not DateAdjuster
</v>
      </c>
      <c r="N32" t="str">
        <v xml:space="preserve">Unexpected Python Error: TypeError: must be real number, not DateAdjuster
</v>
      </c>
      <c r="O32" t="str">
        <v xml:space="preserve">Unexpected Python Error: TypeError: must be real number, not DateAdjuster
</v>
      </c>
      <c r="P32" t="str">
        <v xml:space="preserve">Unexpected Python Error: TypeError: must be real number, not DateAdjuster
</v>
      </c>
      <c r="Q32" t="str">
        <v xml:space="preserve">Unexpected Python Error: TypeError: must be real number, not DateAdjuster
</v>
      </c>
      <c r="R32" t="str">
        <v xml:space="preserve">Unexpected Python Error: TypeError: must be real number, not DateAdjuster
</v>
      </c>
      <c r="S32" t="str">
        <v xml:space="preserve">Unexpected Python Error: TypeError: must be real number, not DateAdjuster
</v>
      </c>
      <c r="T32" t="str">
        <v xml:space="preserve">Unexpected Python Error: TypeError: must be real number, not DateAdjuster
</v>
      </c>
      <c r="U32" t="str">
        <v xml:space="preserve">Unexpected Python Error: TypeError: must be real number, not DateAdjuster
</v>
      </c>
      <c r="V32" t="str">
        <v xml:space="preserve">Unexpected Python Error: TypeError: must be real number, not DateAdjuster
</v>
      </c>
      <c r="W32" t="str">
        <v xml:space="preserve">Unexpected Python Error: TypeError: must be real number, not DateAdjuster
</v>
      </c>
      <c r="X32" t="str">
        <v xml:space="preserve">Unexpected Python Error: TypeError: must be real number, not DateAdjuster
</v>
      </c>
    </row>
    <row r="33" spans="13:24">
      <c r="M33" t="str">
        <v xml:space="preserve">Unexpected Python Error: TypeError: must be real number, not DateAdjuster
</v>
      </c>
      <c r="N33" t="str">
        <v xml:space="preserve">Unexpected Python Error: TypeError: must be real number, not DateAdjuster
</v>
      </c>
      <c r="O33" t="str">
        <v xml:space="preserve">Unexpected Python Error: TypeError: must be real number, not DateAdjuster
</v>
      </c>
      <c r="P33" t="str">
        <v xml:space="preserve">Unexpected Python Error: TypeError: must be real number, not DateAdjuster
</v>
      </c>
      <c r="Q33" t="str">
        <v xml:space="preserve">Unexpected Python Error: TypeError: must be real number, not DateAdjuster
</v>
      </c>
      <c r="R33" t="str">
        <v xml:space="preserve">Unexpected Python Error: TypeError: must be real number, not DateAdjuster
</v>
      </c>
      <c r="S33" t="str">
        <v xml:space="preserve">Unexpected Python Error: TypeError: must be real number, not DateAdjuster
</v>
      </c>
      <c r="T33" t="str">
        <v xml:space="preserve">Unexpected Python Error: TypeError: must be real number, not DateAdjuster
</v>
      </c>
      <c r="U33" t="str">
        <v xml:space="preserve">Unexpected Python Error: TypeError: must be real number, not DateAdjuster
</v>
      </c>
      <c r="V33" t="str">
        <v xml:space="preserve">Unexpected Python Error: TypeError: must be real number, not DateAdjuster
</v>
      </c>
      <c r="W33" t="str">
        <v xml:space="preserve">Unexpected Python Error: TypeError: must be real number, not DateAdjuster
</v>
      </c>
      <c r="X33" t="str">
        <v xml:space="preserve">Unexpected Python Error: TypeError: must be real number, not DateAdjuster
</v>
      </c>
    </row>
    <row r="34" spans="13:24">
      <c r="M34" t="str">
        <v xml:space="preserve">Unexpected Python Error: TypeError: must be real number, not DateAdjuster
</v>
      </c>
      <c r="N34" t="str">
        <v xml:space="preserve">Unexpected Python Error: TypeError: must be real number, not DateAdjuster
</v>
      </c>
      <c r="O34" t="str">
        <v xml:space="preserve">Unexpected Python Error: TypeError: must be real number, not DateAdjuster
</v>
      </c>
      <c r="P34" t="str">
        <v xml:space="preserve">Unexpected Python Error: TypeError: must be real number, not DateAdjuster
</v>
      </c>
      <c r="Q34" t="str">
        <v xml:space="preserve">Unexpected Python Error: TypeError: must be real number, not DateAdjuster
</v>
      </c>
      <c r="R34" t="str">
        <v xml:space="preserve">Unexpected Python Error: TypeError: must be real number, not DateAdjuster
</v>
      </c>
      <c r="S34" t="str">
        <v xml:space="preserve">Unexpected Python Error: TypeError: must be real number, not DateAdjuster
</v>
      </c>
      <c r="T34" t="str">
        <v xml:space="preserve">Unexpected Python Error: TypeError: must be real number, not DateAdjuster
</v>
      </c>
      <c r="U34" t="str">
        <v xml:space="preserve">Unexpected Python Error: TypeError: must be real number, not DateAdjuster
</v>
      </c>
      <c r="V34" t="str">
        <v xml:space="preserve">Unexpected Python Error: TypeError: must be real number, not DateAdjuster
</v>
      </c>
      <c r="W34" t="str">
        <v xml:space="preserve">Unexpected Python Error: TypeError: must be real number, not DateAdjuster
</v>
      </c>
      <c r="X34" t="str">
        <v xml:space="preserve">Unexpected Python Error: TypeError: must be real number, not DateAdjuster
</v>
      </c>
    </row>
    <row r="35" spans="13:24">
      <c r="M35" t="str">
        <v xml:space="preserve">Unexpected Python Error: TypeError: must be real number, not DateAdjuster
</v>
      </c>
      <c r="N35" t="str">
        <v xml:space="preserve">Unexpected Python Error: TypeError: must be real number, not DateAdjuster
</v>
      </c>
      <c r="O35" t="str">
        <v xml:space="preserve">Unexpected Python Error: TypeError: must be real number, not DateAdjuster
</v>
      </c>
      <c r="P35" t="str">
        <v xml:space="preserve">Unexpected Python Error: TypeError: must be real number, not DateAdjuster
</v>
      </c>
      <c r="Q35" t="str">
        <v xml:space="preserve">Unexpected Python Error: TypeError: must be real number, not DateAdjuster
</v>
      </c>
      <c r="R35" t="str">
        <v xml:space="preserve">Unexpected Python Error: TypeError: must be real number, not DateAdjuster
</v>
      </c>
      <c r="S35" t="str">
        <v xml:space="preserve">Unexpected Python Error: TypeError: must be real number, not DateAdjuster
</v>
      </c>
      <c r="T35" t="str">
        <v xml:space="preserve">Unexpected Python Error: TypeError: must be real number, not DateAdjuster
</v>
      </c>
      <c r="U35" t="str">
        <v xml:space="preserve">Unexpected Python Error: TypeError: must be real number, not DateAdjuster
</v>
      </c>
      <c r="V35" t="str">
        <v xml:space="preserve">Unexpected Python Error: TypeError: must be real number, not DateAdjuster
</v>
      </c>
      <c r="W35" t="str">
        <v xml:space="preserve">Unexpected Python Error: TypeError: must be real number, not DateAdjuster
</v>
      </c>
      <c r="X35" t="str">
        <v xml:space="preserve">Unexpected Python Error: TypeError: must be real number, not DateAdjuster
</v>
      </c>
    </row>
    <row r="36" spans="13:24">
      <c r="M36" t="str">
        <v xml:space="preserve">Unexpected Python Error: TypeError: must be real number, not DateAdjuster
</v>
      </c>
      <c r="N36" t="str">
        <v xml:space="preserve">Unexpected Python Error: TypeError: must be real number, not DateAdjuster
</v>
      </c>
      <c r="O36" t="str">
        <v xml:space="preserve">Unexpected Python Error: TypeError: must be real number, not DateAdjuster
</v>
      </c>
      <c r="P36" t="str">
        <v xml:space="preserve">Unexpected Python Error: TypeError: must be real number, not DateAdjuster
</v>
      </c>
      <c r="Q36" t="str">
        <v xml:space="preserve">Unexpected Python Error: TypeError: must be real number, not DateAdjuster
</v>
      </c>
      <c r="R36" t="str">
        <v xml:space="preserve">Unexpected Python Error: TypeError: must be real number, not DateAdjuster
</v>
      </c>
      <c r="S36" t="str">
        <v xml:space="preserve">Unexpected Python Error: TypeError: must be real number, not DateAdjuster
</v>
      </c>
      <c r="T36" t="str">
        <v xml:space="preserve">Unexpected Python Error: TypeError: must be real number, not DateAdjuster
</v>
      </c>
      <c r="U36" t="str">
        <v xml:space="preserve">Unexpected Python Error: TypeError: must be real number, not DateAdjuster
</v>
      </c>
      <c r="V36" t="str">
        <v xml:space="preserve">Unexpected Python Error: TypeError: must be real number, not DateAdjuster
</v>
      </c>
      <c r="W36" t="str">
        <v xml:space="preserve">Unexpected Python Error: TypeError: must be real number, not DateAdjuster
</v>
      </c>
      <c r="X36" t="str">
        <v xml:space="preserve">Unexpected Python Error: TypeError: must be real number, not DateAdjuster
</v>
      </c>
    </row>
    <row r="37" spans="13:24">
      <c r="M37" t="str">
        <v xml:space="preserve">Unexpected Python Error: TypeError: must be real number, not DateAdjuster
</v>
      </c>
      <c r="N37" t="str">
        <v xml:space="preserve">Unexpected Python Error: TypeError: must be real number, not DateAdjuster
</v>
      </c>
      <c r="O37" t="str">
        <v xml:space="preserve">Unexpected Python Error: TypeError: must be real number, not DateAdjuster
</v>
      </c>
      <c r="P37" t="str">
        <v xml:space="preserve">Unexpected Python Error: TypeError: must be real number, not DateAdjuster
</v>
      </c>
      <c r="Q37" t="str">
        <v xml:space="preserve">Unexpected Python Error: TypeError: must be real number, not DateAdjuster
</v>
      </c>
      <c r="R37" t="str">
        <v xml:space="preserve">Unexpected Python Error: TypeError: must be real number, not DateAdjuster
</v>
      </c>
      <c r="S37" t="str">
        <v xml:space="preserve">Unexpected Python Error: TypeError: must be real number, not DateAdjuster
</v>
      </c>
      <c r="T37" t="str">
        <v xml:space="preserve">Unexpected Python Error: TypeError: must be real number, not DateAdjuster
</v>
      </c>
      <c r="U37" t="str">
        <v xml:space="preserve">Unexpected Python Error: TypeError: must be real number, not DateAdjuster
</v>
      </c>
      <c r="V37" t="str">
        <v xml:space="preserve">Unexpected Python Error: TypeError: must be real number, not DateAdjuster
</v>
      </c>
      <c r="W37" t="str">
        <v xml:space="preserve">Unexpected Python Error: TypeError: must be real number, not DateAdjuster
</v>
      </c>
      <c r="X37" t="str">
        <v xml:space="preserve">Unexpected Python Error: TypeError: must be real number, not DateAdjuster
</v>
      </c>
    </row>
    <row r="38" spans="13:24">
      <c r="M38" t="str">
        <v xml:space="preserve">Unexpected Python Error: TypeError: must be real number, not DateAdjuster
</v>
      </c>
      <c r="N38" t="str">
        <v xml:space="preserve">Unexpected Python Error: TypeError: must be real number, not DateAdjuster
</v>
      </c>
      <c r="O38" t="str">
        <v xml:space="preserve">Unexpected Python Error: TypeError: must be real number, not DateAdjuster
</v>
      </c>
      <c r="P38" t="str">
        <v xml:space="preserve">Unexpected Python Error: TypeError: must be real number, not DateAdjuster
</v>
      </c>
      <c r="Q38" t="str">
        <v xml:space="preserve">Unexpected Python Error: TypeError: must be real number, not DateAdjuster
</v>
      </c>
      <c r="R38" t="str">
        <v xml:space="preserve">Unexpected Python Error: TypeError: must be real number, not DateAdjuster
</v>
      </c>
      <c r="S38" t="str">
        <v xml:space="preserve">Unexpected Python Error: TypeError: must be real number, not DateAdjuster
</v>
      </c>
      <c r="T38" t="str">
        <v xml:space="preserve">Unexpected Python Error: TypeError: must be real number, not DateAdjuster
</v>
      </c>
      <c r="U38" t="str">
        <v xml:space="preserve">Unexpected Python Error: TypeError: must be real number, not DateAdjuster
</v>
      </c>
      <c r="V38" t="str">
        <v xml:space="preserve">Unexpected Python Error: TypeError: must be real number, not DateAdjuster
</v>
      </c>
      <c r="W38" t="str">
        <v xml:space="preserve">Unexpected Python Error: TypeError: must be real number, not DateAdjuster
</v>
      </c>
      <c r="X38" t="str">
        <v xml:space="preserve">Unexpected Python Error: TypeError: must be real number, not DateAdjuster
</v>
      </c>
    </row>
    <row r="39" spans="13:24">
      <c r="M39" t="str">
        <v xml:space="preserve">Unexpected Python Error: TypeError: must be real number, not DateAdjuster
</v>
      </c>
      <c r="N39" t="str">
        <v xml:space="preserve">Unexpected Python Error: TypeError: must be real number, not DateAdjuster
</v>
      </c>
      <c r="O39" t="str">
        <v xml:space="preserve">Unexpected Python Error: TypeError: must be real number, not DateAdjuster
</v>
      </c>
      <c r="P39" t="str">
        <v xml:space="preserve">Unexpected Python Error: TypeError: must be real number, not DateAdjuster
</v>
      </c>
      <c r="Q39" t="str">
        <v xml:space="preserve">Unexpected Python Error: TypeError: must be real number, not DateAdjuster
</v>
      </c>
      <c r="R39" t="str">
        <v xml:space="preserve">Unexpected Python Error: TypeError: must be real number, not DateAdjuster
</v>
      </c>
      <c r="S39" t="str">
        <v xml:space="preserve">Unexpected Python Error: TypeError: must be real number, not DateAdjuster
</v>
      </c>
      <c r="T39" t="str">
        <v xml:space="preserve">Unexpected Python Error: TypeError: must be real number, not DateAdjuster
</v>
      </c>
      <c r="U39" t="str">
        <v xml:space="preserve">Unexpected Python Error: TypeError: must be real number, not DateAdjuster
</v>
      </c>
      <c r="V39" t="str">
        <v xml:space="preserve">Unexpected Python Error: TypeError: must be real number, not DateAdjuster
</v>
      </c>
      <c r="W39" t="str">
        <v xml:space="preserve">Unexpected Python Error: TypeError: must be real number, not DateAdjuster
</v>
      </c>
      <c r="X39" t="str">
        <v xml:space="preserve">Unexpected Python Error: TypeError: must be real number, not DateAdjuster
</v>
      </c>
    </row>
    <row r="40" spans="13:24">
      <c r="M40" t="str">
        <v xml:space="preserve">Unexpected Python Error: TypeError: must be real number, not DateAdjuster
</v>
      </c>
      <c r="N40" t="str">
        <v xml:space="preserve">Unexpected Python Error: TypeError: must be real number, not DateAdjuster
</v>
      </c>
      <c r="O40" t="str">
        <v xml:space="preserve">Unexpected Python Error: TypeError: must be real number, not DateAdjuster
</v>
      </c>
      <c r="P40" t="str">
        <v xml:space="preserve">Unexpected Python Error: TypeError: must be real number, not DateAdjuster
</v>
      </c>
      <c r="Q40" t="str">
        <v xml:space="preserve">Unexpected Python Error: TypeError: must be real number, not DateAdjuster
</v>
      </c>
      <c r="R40" t="str">
        <v xml:space="preserve">Unexpected Python Error: TypeError: must be real number, not DateAdjuster
</v>
      </c>
      <c r="S40" t="str">
        <v xml:space="preserve">Unexpected Python Error: TypeError: must be real number, not DateAdjuster
</v>
      </c>
      <c r="T40" t="str">
        <v xml:space="preserve">Unexpected Python Error: TypeError: must be real number, not DateAdjuster
</v>
      </c>
      <c r="U40" t="str">
        <v xml:space="preserve">Unexpected Python Error: TypeError: must be real number, not DateAdjuster
</v>
      </c>
      <c r="V40" t="str">
        <v xml:space="preserve">Unexpected Python Error: TypeError: must be real number, not DateAdjuster
</v>
      </c>
      <c r="W40" t="str">
        <v xml:space="preserve">Unexpected Python Error: TypeError: must be real number, not DateAdjuster
</v>
      </c>
      <c r="X40" t="str">
        <v xml:space="preserve">Unexpected Python Error: TypeError: must be real number, not DateAdjuster
</v>
      </c>
    </row>
    <row r="41" spans="13:24">
      <c r="M41" t="str">
        <v xml:space="preserve">Unexpected Python Error: TypeError: must be real number, not DateAdjuster
</v>
      </c>
      <c r="N41" t="str">
        <v xml:space="preserve">Unexpected Python Error: TypeError: must be real number, not DateAdjuster
</v>
      </c>
      <c r="O41" t="str">
        <v xml:space="preserve">Unexpected Python Error: TypeError: must be real number, not DateAdjuster
</v>
      </c>
      <c r="P41" t="str">
        <v xml:space="preserve">Unexpected Python Error: TypeError: must be real number, not DateAdjuster
</v>
      </c>
      <c r="Q41" t="str">
        <v xml:space="preserve">Unexpected Python Error: TypeError: must be real number, not DateAdjuster
</v>
      </c>
      <c r="R41" t="str">
        <v xml:space="preserve">Unexpected Python Error: TypeError: must be real number, not DateAdjuster
</v>
      </c>
      <c r="S41" t="str">
        <v xml:space="preserve">Unexpected Python Error: TypeError: must be real number, not DateAdjuster
</v>
      </c>
      <c r="T41" t="str">
        <v xml:space="preserve">Unexpected Python Error: TypeError: must be real number, not DateAdjuster
</v>
      </c>
      <c r="U41" t="str">
        <v xml:space="preserve">Unexpected Python Error: TypeError: must be real number, not DateAdjuster
</v>
      </c>
      <c r="V41" t="str">
        <v xml:space="preserve">Unexpected Python Error: TypeError: must be real number, not DateAdjuster
</v>
      </c>
      <c r="W41" t="str">
        <v xml:space="preserve">Unexpected Python Error: TypeError: must be real number, not DateAdjuster
</v>
      </c>
      <c r="X41" t="str">
        <v xml:space="preserve">Unexpected Python Error: TypeError: must be real number, not DateAdjuster
</v>
      </c>
    </row>
    <row r="42" spans="13:24">
      <c r="M42" t="str">
        <v xml:space="preserve">Unexpected Python Error: TypeError: must be real number, not DateAdjuster
</v>
      </c>
      <c r="N42" t="str">
        <v xml:space="preserve">Unexpected Python Error: TypeError: must be real number, not DateAdjuster
</v>
      </c>
      <c r="O42" t="str">
        <v xml:space="preserve">Unexpected Python Error: TypeError: must be real number, not DateAdjuster
</v>
      </c>
      <c r="P42" t="str">
        <v xml:space="preserve">Unexpected Python Error: TypeError: must be real number, not DateAdjuster
</v>
      </c>
      <c r="Q42" t="str">
        <v xml:space="preserve">Unexpected Python Error: TypeError: must be real number, not DateAdjuster
</v>
      </c>
      <c r="R42" t="str">
        <v xml:space="preserve">Unexpected Python Error: TypeError: must be real number, not DateAdjuster
</v>
      </c>
      <c r="S42" t="str">
        <v xml:space="preserve">Unexpected Python Error: TypeError: must be real number, not DateAdjuster
</v>
      </c>
      <c r="T42" t="str">
        <v xml:space="preserve">Unexpected Python Error: TypeError: must be real number, not DateAdjuster
</v>
      </c>
      <c r="U42" t="str">
        <v xml:space="preserve">Unexpected Python Error: TypeError: must be real number, not DateAdjuster
</v>
      </c>
      <c r="V42" t="str">
        <v xml:space="preserve">Unexpected Python Error: TypeError: must be real number, not DateAdjuster
</v>
      </c>
      <c r="W42" t="str">
        <v xml:space="preserve">Unexpected Python Error: TypeError: must be real number, not DateAdjuster
</v>
      </c>
      <c r="X42" t="str">
        <v xml:space="preserve">Unexpected Python Error: TypeError: must be real number, not DateAdjuster
</v>
      </c>
    </row>
    <row r="43" spans="13:24">
      <c r="M43" t="str">
        <v xml:space="preserve">Unexpected Python Error: TypeError: must be real number, not DateAdjuster
</v>
      </c>
      <c r="N43" t="str">
        <v xml:space="preserve">Unexpected Python Error: TypeError: must be real number, not DateAdjuster
</v>
      </c>
      <c r="O43" t="str">
        <v xml:space="preserve">Unexpected Python Error: TypeError: must be real number, not DateAdjuster
</v>
      </c>
      <c r="P43" t="str">
        <v xml:space="preserve">Unexpected Python Error: TypeError: must be real number, not DateAdjuster
</v>
      </c>
      <c r="Q43" t="str">
        <v xml:space="preserve">Unexpected Python Error: TypeError: must be real number, not DateAdjuster
</v>
      </c>
      <c r="R43" t="str">
        <v xml:space="preserve">Unexpected Python Error: TypeError: must be real number, not DateAdjuster
</v>
      </c>
      <c r="S43" t="str">
        <v xml:space="preserve">Unexpected Python Error: TypeError: must be real number, not DateAdjuster
</v>
      </c>
      <c r="T43" t="str">
        <v xml:space="preserve">Unexpected Python Error: TypeError: must be real number, not DateAdjuster
</v>
      </c>
      <c r="U43" t="str">
        <v xml:space="preserve">Unexpected Python Error: TypeError: must be real number, not DateAdjuster
</v>
      </c>
      <c r="V43" t="str">
        <v xml:space="preserve">Unexpected Python Error: TypeError: must be real number, not DateAdjuster
</v>
      </c>
      <c r="W43" t="str">
        <v xml:space="preserve">Unexpected Python Error: TypeError: must be real number, not DateAdjuster
</v>
      </c>
      <c r="X43" t="str">
        <v xml:space="preserve">Unexpected Python Error: TypeError: must be real number, not DateAdjuster
</v>
      </c>
    </row>
    <row r="44" spans="13:24">
      <c r="M44" t="str">
        <v xml:space="preserve">Unexpected Python Error: TypeError: must be real number, not DateAdjuster
</v>
      </c>
      <c r="N44" t="str">
        <v xml:space="preserve">Unexpected Python Error: TypeError: must be real number, not DateAdjuster
</v>
      </c>
      <c r="O44" t="str">
        <v xml:space="preserve">Unexpected Python Error: TypeError: must be real number, not DateAdjuster
</v>
      </c>
      <c r="P44" t="str">
        <v xml:space="preserve">Unexpected Python Error: TypeError: must be real number, not DateAdjuster
</v>
      </c>
      <c r="Q44" t="str">
        <v xml:space="preserve">Unexpected Python Error: TypeError: must be real number, not DateAdjuster
</v>
      </c>
      <c r="R44" t="str">
        <v xml:space="preserve">Unexpected Python Error: TypeError: must be real number, not DateAdjuster
</v>
      </c>
      <c r="S44" t="str">
        <v xml:space="preserve">Unexpected Python Error: TypeError: must be real number, not DateAdjuster
</v>
      </c>
      <c r="T44" t="str">
        <v xml:space="preserve">Unexpected Python Error: TypeError: must be real number, not DateAdjuster
</v>
      </c>
      <c r="U44" t="str">
        <v xml:space="preserve">Unexpected Python Error: TypeError: must be real number, not DateAdjuster
</v>
      </c>
      <c r="V44" t="str">
        <v xml:space="preserve">Unexpected Python Error: TypeError: must be real number, not DateAdjuster
</v>
      </c>
      <c r="W44" t="str">
        <v xml:space="preserve">Unexpected Python Error: TypeError: must be real number, not DateAdjuster
</v>
      </c>
      <c r="X44" t="str">
        <v xml:space="preserve">Unexpected Python Error: TypeError: must be real number, not DateAdjuster
</v>
      </c>
    </row>
    <row r="45" spans="13:24">
      <c r="M45" t="str">
        <v xml:space="preserve">Unexpected Python Error: TypeError: must be real number, not DateAdjuster
</v>
      </c>
      <c r="N45" t="str">
        <v xml:space="preserve">Unexpected Python Error: TypeError: must be real number, not DateAdjuster
</v>
      </c>
      <c r="O45" t="str">
        <v xml:space="preserve">Unexpected Python Error: TypeError: must be real number, not DateAdjuster
</v>
      </c>
      <c r="P45" t="str">
        <v xml:space="preserve">Unexpected Python Error: TypeError: must be real number, not DateAdjuster
</v>
      </c>
      <c r="Q45" t="str">
        <v xml:space="preserve">Unexpected Python Error: TypeError: must be real number, not DateAdjuster
</v>
      </c>
      <c r="R45" t="str">
        <v xml:space="preserve">Unexpected Python Error: TypeError: must be real number, not DateAdjuster
</v>
      </c>
      <c r="S45" t="str">
        <v xml:space="preserve">Unexpected Python Error: TypeError: must be real number, not DateAdjuster
</v>
      </c>
      <c r="T45" t="str">
        <v xml:space="preserve">Unexpected Python Error: TypeError: must be real number, not DateAdjuster
</v>
      </c>
      <c r="U45" t="str">
        <v xml:space="preserve">Unexpected Python Error: TypeError: must be real number, not DateAdjuster
</v>
      </c>
      <c r="V45" t="str">
        <v xml:space="preserve">Unexpected Python Error: TypeError: must be real number, not DateAdjuster
</v>
      </c>
      <c r="W45" t="str">
        <v xml:space="preserve">Unexpected Python Error: TypeError: must be real number, not DateAdjuster
</v>
      </c>
      <c r="X45" t="str">
        <v xml:space="preserve">Unexpected Python Error: TypeError: must be real number, not DateAdjuster
</v>
      </c>
    </row>
    <row r="46" spans="13:24">
      <c r="M46" t="str">
        <v xml:space="preserve">Unexpected Python Error: TypeError: must be real number, not DateAdjuster
</v>
      </c>
      <c r="N46" t="str">
        <v xml:space="preserve">Unexpected Python Error: TypeError: must be real number, not DateAdjuster
</v>
      </c>
      <c r="O46" t="str">
        <v xml:space="preserve">Unexpected Python Error: TypeError: must be real number, not DateAdjuster
</v>
      </c>
      <c r="P46" t="str">
        <v xml:space="preserve">Unexpected Python Error: TypeError: must be real number, not DateAdjuster
</v>
      </c>
      <c r="Q46" t="str">
        <v xml:space="preserve">Unexpected Python Error: TypeError: must be real number, not DateAdjuster
</v>
      </c>
      <c r="R46" t="str">
        <v xml:space="preserve">Unexpected Python Error: TypeError: must be real number, not DateAdjuster
</v>
      </c>
      <c r="S46" t="str">
        <v xml:space="preserve">Unexpected Python Error: TypeError: must be real number, not DateAdjuster
</v>
      </c>
      <c r="T46" t="str">
        <v xml:space="preserve">Unexpected Python Error: TypeError: must be real number, not DateAdjuster
</v>
      </c>
      <c r="U46" t="str">
        <v xml:space="preserve">Unexpected Python Error: TypeError: must be real number, not DateAdjuster
</v>
      </c>
      <c r="V46" t="str">
        <v xml:space="preserve">Unexpected Python Error: TypeError: must be real number, not DateAdjuster
</v>
      </c>
      <c r="W46" t="str">
        <v xml:space="preserve">Unexpected Python Error: TypeError: must be real number, not DateAdjuster
</v>
      </c>
      <c r="X46" t="str">
        <v xml:space="preserve">Unexpected Python Error: TypeError: must be real number, not DateAdjuster
</v>
      </c>
    </row>
    <row r="47" spans="13:24">
      <c r="M47" t="str">
        <v xml:space="preserve">Unexpected Python Error: TypeError: must be real number, not DateAdjuster
</v>
      </c>
      <c r="N47" t="str">
        <v xml:space="preserve">Unexpected Python Error: TypeError: must be real number, not DateAdjuster
</v>
      </c>
      <c r="O47" t="str">
        <v xml:space="preserve">Unexpected Python Error: TypeError: must be real number, not DateAdjuster
</v>
      </c>
      <c r="P47" t="str">
        <v xml:space="preserve">Unexpected Python Error: TypeError: must be real number, not DateAdjuster
</v>
      </c>
      <c r="Q47" t="str">
        <v xml:space="preserve">Unexpected Python Error: TypeError: must be real number, not DateAdjuster
</v>
      </c>
      <c r="R47" t="str">
        <v xml:space="preserve">Unexpected Python Error: TypeError: must be real number, not DateAdjuster
</v>
      </c>
      <c r="S47" t="str">
        <v xml:space="preserve">Unexpected Python Error: TypeError: must be real number, not DateAdjuster
</v>
      </c>
      <c r="T47" t="str">
        <v xml:space="preserve">Unexpected Python Error: TypeError: must be real number, not DateAdjuster
</v>
      </c>
      <c r="U47" t="str">
        <v xml:space="preserve">Unexpected Python Error: TypeError: must be real number, not DateAdjuster
</v>
      </c>
      <c r="V47" t="str">
        <v xml:space="preserve">Unexpected Python Error: TypeError: must be real number, not DateAdjuster
</v>
      </c>
      <c r="W47" t="str">
        <v xml:space="preserve">Unexpected Python Error: TypeError: must be real number, not DateAdjuster
</v>
      </c>
      <c r="X47" t="str">
        <v xml:space="preserve">Unexpected Python Error: TypeError: must be real number, not DateAdjuster
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YieldCurve</vt:lpstr>
      <vt:lpstr>CreditCurve</vt:lpstr>
      <vt:lpstr>DV01</vt:lpstr>
      <vt:lpstr>buildItems</vt:lpstr>
      <vt:lpstr>MarketHandle</vt:lpstr>
      <vt:lpstr>valueDate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 Shen</dc:creator>
  <cp:lastModifiedBy>Leon Shen</cp:lastModifiedBy>
  <dcterms:created xsi:type="dcterms:W3CDTF">2022-04-17T17:27:03Z</dcterms:created>
  <dcterms:modified xsi:type="dcterms:W3CDTF">2022-05-16T10:09:29Z</dcterms:modified>
</cp:coreProperties>
</file>