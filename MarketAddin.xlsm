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ongjie\source\repos\zongjieshen\RatesMarket\"/>
    </mc:Choice>
  </mc:AlternateContent>
  <xr:revisionPtr revIDLastSave="0" documentId="13_ncr:1_{22145896-9610-4EBA-9EB2-3904E8BE4EE2}" xr6:coauthVersionLast="47" xr6:coauthVersionMax="47" xr10:uidLastSave="{00000000-0000-0000-0000-000000000000}"/>
  <bookViews>
    <workbookView xWindow="-120" yWindow="-120" windowWidth="38640" windowHeight="21240" activeTab="2" xr2:uid="{360BA86D-65F6-4478-A636-331A56AC90E7}"/>
  </bookViews>
  <sheets>
    <sheet name="YieldCurve" sheetId="1" r:id="rId1"/>
    <sheet name="CreditCurve" sheetId="5" r:id="rId2"/>
    <sheet name="DV01" sheetId="4" r:id="rId3"/>
  </sheets>
  <functionGroups builtInGroupCount="19">
    <functionGroup name="xlwings"/>
  </functionGroups>
  <definedNames>
    <definedName name="buildItems">YieldCurve!$D$2:$I$25</definedName>
    <definedName name="MarketHandle">YieldCurve!$B$3</definedName>
    <definedName name="valueDate">YieldCurve!$B$2</definedName>
  </definedNames>
  <calcPr calcId="181029" calcMode="manual" concurrentCalc="0"/>
  <extLst>
    <ext xmlns:x14="http://schemas.microsoft.com/office/spreadsheetml/2009/9/main" uri="{8193D73E-4604-4355-AFF4-8A2333D13BE4}">
      <x14:definedNames>
        <x14:definedName name="CharPoint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CreditCurveChartPoint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Dv01AtEachPillar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arketChartPoint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arketCreat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arketDv01AtEachpillar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arketItem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rketItempillar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rketItems">
          <x14:argumentDescriptions count="1">
            <x14:argumentDescription index="0">Positional argument 1</x14:argumentDescription>
          </x14:argumentDescriptions>
        </x14:definedName>
        <x14:definedName name="RemoveHandle">
          <x14:argumentDescriptions count="1">
            <x14:argumentDescription index="0">Positional argument 1</x14:argumentDescription>
          </x14:argumentDescriptions>
        </x14:definedName>
        <x14:definedName name="ScheduleCreat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1" l="1"/>
  <c r="B2" i="4"/>
  <c r="M19" i="4" a="1"/>
  <c r="M19" i="4"/>
  <c r="N19" i="4"/>
  <c r="O19" i="4"/>
  <c r="P19" i="4"/>
  <c r="Q19" i="4"/>
  <c r="R19" i="4"/>
  <c r="S19" i="4"/>
  <c r="T19" i="4"/>
  <c r="U19" i="4"/>
  <c r="V19" i="4"/>
  <c r="W19" i="4"/>
  <c r="X19" i="4"/>
  <c r="M20" i="4"/>
  <c r="N20" i="4"/>
  <c r="O20" i="4"/>
  <c r="P20" i="4"/>
  <c r="Q20" i="4"/>
  <c r="R20" i="4"/>
  <c r="S20" i="4"/>
  <c r="T20" i="4"/>
  <c r="U20" i="4"/>
  <c r="V20" i="4"/>
  <c r="W20" i="4"/>
  <c r="X20" i="4"/>
  <c r="M21" i="4"/>
  <c r="N21" i="4"/>
  <c r="O21" i="4"/>
  <c r="P21" i="4"/>
  <c r="Q21" i="4"/>
  <c r="R21" i="4"/>
  <c r="S21" i="4"/>
  <c r="T21" i="4"/>
  <c r="U21" i="4"/>
  <c r="V21" i="4"/>
  <c r="W21" i="4"/>
  <c r="X21" i="4"/>
  <c r="M22" i="4"/>
  <c r="N22" i="4"/>
  <c r="O22" i="4"/>
  <c r="P22" i="4"/>
  <c r="Q22" i="4"/>
  <c r="R22" i="4"/>
  <c r="S22" i="4"/>
  <c r="T22" i="4"/>
  <c r="U22" i="4"/>
  <c r="V22" i="4"/>
  <c r="W22" i="4"/>
  <c r="X22" i="4"/>
  <c r="M23" i="4"/>
  <c r="N23" i="4"/>
  <c r="O23" i="4"/>
  <c r="P23" i="4"/>
  <c r="Q23" i="4"/>
  <c r="R23" i="4"/>
  <c r="S23" i="4"/>
  <c r="T23" i="4"/>
  <c r="U23" i="4"/>
  <c r="V23" i="4"/>
  <c r="W23" i="4"/>
  <c r="X23" i="4"/>
  <c r="M24" i="4"/>
  <c r="N24" i="4"/>
  <c r="O24" i="4"/>
  <c r="P24" i="4"/>
  <c r="Q24" i="4"/>
  <c r="R24" i="4"/>
  <c r="S24" i="4"/>
  <c r="T24" i="4"/>
  <c r="U24" i="4"/>
  <c r="V24" i="4"/>
  <c r="W24" i="4"/>
  <c r="X24" i="4"/>
  <c r="M25" i="4"/>
  <c r="N25" i="4"/>
  <c r="O25" i="4"/>
  <c r="P25" i="4"/>
  <c r="Q25" i="4"/>
  <c r="R25" i="4"/>
  <c r="S25" i="4"/>
  <c r="T25" i="4"/>
  <c r="U25" i="4"/>
  <c r="V25" i="4"/>
  <c r="W25" i="4"/>
  <c r="X25" i="4"/>
  <c r="M26" i="4"/>
  <c r="N26" i="4"/>
  <c r="O26" i="4"/>
  <c r="P26" i="4"/>
  <c r="Q26" i="4"/>
  <c r="R26" i="4"/>
  <c r="S26" i="4"/>
  <c r="T26" i="4"/>
  <c r="U26" i="4"/>
  <c r="V26" i="4"/>
  <c r="W26" i="4"/>
  <c r="X26" i="4"/>
  <c r="M27" i="4"/>
  <c r="N27" i="4"/>
  <c r="O27" i="4"/>
  <c r="P27" i="4"/>
  <c r="Q27" i="4"/>
  <c r="R27" i="4"/>
  <c r="S27" i="4"/>
  <c r="T27" i="4"/>
  <c r="U27" i="4"/>
  <c r="V27" i="4"/>
  <c r="W27" i="4"/>
  <c r="X27" i="4"/>
  <c r="M28" i="4"/>
  <c r="N28" i="4"/>
  <c r="O28" i="4"/>
  <c r="P28" i="4"/>
  <c r="Q28" i="4"/>
  <c r="R28" i="4"/>
  <c r="S28" i="4"/>
  <c r="T28" i="4"/>
  <c r="U28" i="4"/>
  <c r="V28" i="4"/>
  <c r="W28" i="4"/>
  <c r="X28" i="4"/>
  <c r="M29" i="4"/>
  <c r="N29" i="4"/>
  <c r="O29" i="4"/>
  <c r="P29" i="4"/>
  <c r="Q29" i="4"/>
  <c r="R29" i="4"/>
  <c r="S29" i="4"/>
  <c r="T29" i="4"/>
  <c r="U29" i="4"/>
  <c r="V29" i="4"/>
  <c r="W29" i="4"/>
  <c r="X29" i="4"/>
  <c r="M30" i="4"/>
  <c r="N30" i="4"/>
  <c r="O30" i="4"/>
  <c r="P30" i="4"/>
  <c r="Q30" i="4"/>
  <c r="R30" i="4"/>
  <c r="S30" i="4"/>
  <c r="T30" i="4"/>
  <c r="U30" i="4"/>
  <c r="V30" i="4"/>
  <c r="W30" i="4"/>
  <c r="X30" i="4"/>
  <c r="M31" i="4"/>
  <c r="N31" i="4"/>
  <c r="O31" i="4"/>
  <c r="P31" i="4"/>
  <c r="Q31" i="4"/>
  <c r="R31" i="4"/>
  <c r="S31" i="4"/>
  <c r="T31" i="4"/>
  <c r="U31" i="4"/>
  <c r="V31" i="4"/>
  <c r="W31" i="4"/>
  <c r="X31" i="4"/>
  <c r="M32" i="4"/>
  <c r="N32" i="4"/>
  <c r="O32" i="4"/>
  <c r="P32" i="4"/>
  <c r="Q32" i="4"/>
  <c r="R32" i="4"/>
  <c r="S32" i="4"/>
  <c r="T32" i="4"/>
  <c r="U32" i="4"/>
  <c r="V32" i="4"/>
  <c r="W32" i="4"/>
  <c r="X32" i="4"/>
  <c r="M33" i="4"/>
  <c r="N33" i="4"/>
  <c r="O33" i="4"/>
  <c r="P33" i="4"/>
  <c r="Q33" i="4"/>
  <c r="R33" i="4"/>
  <c r="S33" i="4"/>
  <c r="T33" i="4"/>
  <c r="U33" i="4"/>
  <c r="V33" i="4"/>
  <c r="W33" i="4"/>
  <c r="X33" i="4"/>
  <c r="M34" i="4"/>
  <c r="N34" i="4"/>
  <c r="O34" i="4"/>
  <c r="P34" i="4"/>
  <c r="Q34" i="4"/>
  <c r="R34" i="4"/>
  <c r="S34" i="4"/>
  <c r="T34" i="4"/>
  <c r="U34" i="4"/>
  <c r="V34" i="4"/>
  <c r="W34" i="4"/>
  <c r="X34" i="4"/>
  <c r="M35" i="4"/>
  <c r="N35" i="4"/>
  <c r="O35" i="4"/>
  <c r="P35" i="4"/>
  <c r="Q35" i="4"/>
  <c r="R35" i="4"/>
  <c r="S35" i="4"/>
  <c r="T35" i="4"/>
  <c r="U35" i="4"/>
  <c r="V35" i="4"/>
  <c r="W35" i="4"/>
  <c r="X35" i="4"/>
  <c r="M36" i="4"/>
  <c r="N36" i="4"/>
  <c r="O36" i="4"/>
  <c r="P36" i="4"/>
  <c r="Q36" i="4"/>
  <c r="R36" i="4"/>
  <c r="S36" i="4"/>
  <c r="T36" i="4"/>
  <c r="U36" i="4"/>
  <c r="V36" i="4"/>
  <c r="W36" i="4"/>
  <c r="X36" i="4"/>
  <c r="M37" i="4"/>
  <c r="N37" i="4"/>
  <c r="O37" i="4"/>
  <c r="P37" i="4"/>
  <c r="Q37" i="4"/>
  <c r="R37" i="4"/>
  <c r="S37" i="4"/>
  <c r="T37" i="4"/>
  <c r="U37" i="4"/>
  <c r="V37" i="4"/>
  <c r="W37" i="4"/>
  <c r="X37" i="4"/>
  <c r="M38" i="4"/>
  <c r="N38" i="4"/>
  <c r="O38" i="4"/>
  <c r="P38" i="4"/>
  <c r="Q38" i="4"/>
  <c r="R38" i="4"/>
  <c r="S38" i="4"/>
  <c r="T38" i="4"/>
  <c r="U38" i="4"/>
  <c r="V38" i="4"/>
  <c r="W38" i="4"/>
  <c r="X38" i="4"/>
  <c r="M39" i="4"/>
  <c r="N39" i="4"/>
  <c r="O39" i="4"/>
  <c r="P39" i="4"/>
  <c r="Q39" i="4"/>
  <c r="R39" i="4"/>
  <c r="S39" i="4"/>
  <c r="T39" i="4"/>
  <c r="U39" i="4"/>
  <c r="V39" i="4"/>
  <c r="W39" i="4"/>
  <c r="X39" i="4"/>
  <c r="A9" i="1" a="1"/>
  <c r="A9" i="1"/>
  <c r="B9" i="1"/>
  <c r="A10" i="1"/>
  <c r="B10" i="1"/>
  <c r="A11" i="1"/>
  <c r="B11" i="1"/>
  <c r="A12" i="1"/>
  <c r="B12" i="1"/>
  <c r="A13" i="1"/>
  <c r="B13" i="1"/>
  <c r="A14" i="1"/>
  <c r="B14" i="1"/>
  <c r="A15" i="1"/>
  <c r="B15" i="1"/>
  <c r="A16" i="1"/>
  <c r="B16" i="1"/>
  <c r="A17" i="1"/>
  <c r="B17" i="1"/>
  <c r="A18" i="1"/>
  <c r="B18" i="1"/>
  <c r="A19" i="1"/>
  <c r="B19" i="1"/>
  <c r="A20" i="1"/>
  <c r="B20" i="1"/>
  <c r="A21" i="1"/>
  <c r="B21" i="1"/>
  <c r="A22" i="1"/>
  <c r="B22" i="1"/>
  <c r="G6" i="5" a="1"/>
  <c r="G122" i="5"/>
  <c r="G121" i="5"/>
  <c r="G120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H6" i="5" a="1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N6" i="1" a="1"/>
  <c r="N122" i="1"/>
  <c r="N121" i="1"/>
  <c r="N120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O6" i="1" a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B3" i="5"/>
  <c r="G6" i="5"/>
  <c r="R6" i="1" a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Q6" i="1" a="1"/>
  <c r="D2" i="4" a="1"/>
  <c r="P6" i="1" a="1"/>
  <c r="P70" i="1"/>
  <c r="P49" i="1"/>
  <c r="P76" i="1"/>
  <c r="P44" i="1"/>
  <c r="P86" i="1"/>
  <c r="P33" i="1"/>
  <c r="P75" i="1"/>
  <c r="P46" i="1"/>
  <c r="P105" i="1"/>
  <c r="P32" i="1"/>
  <c r="P37" i="1"/>
  <c r="P67" i="1"/>
  <c r="P59" i="1"/>
  <c r="P100" i="1"/>
  <c r="P29" i="1"/>
  <c r="P25" i="1"/>
  <c r="P22" i="1"/>
  <c r="P16" i="1"/>
  <c r="P65" i="1"/>
  <c r="P88" i="1"/>
  <c r="P36" i="1"/>
  <c r="P72" i="1"/>
  <c r="P63" i="1"/>
  <c r="P101" i="1"/>
  <c r="P96" i="1"/>
  <c r="P116" i="1"/>
  <c r="P108" i="1"/>
  <c r="P26" i="1"/>
  <c r="P57" i="1"/>
  <c r="P69" i="1"/>
  <c r="P24" i="1"/>
  <c r="P50" i="1"/>
  <c r="P110" i="1"/>
  <c r="P12" i="1"/>
  <c r="P18" i="1"/>
  <c r="P104" i="1"/>
  <c r="P99" i="1"/>
  <c r="P23" i="1"/>
  <c r="P122" i="1"/>
  <c r="P73" i="1"/>
  <c r="P85" i="1"/>
  <c r="P28" i="1"/>
  <c r="P98" i="1"/>
  <c r="P81" i="1"/>
  <c r="P47" i="1"/>
  <c r="P119" i="1"/>
  <c r="P93" i="1"/>
  <c r="P51" i="1"/>
  <c r="P66" i="1"/>
  <c r="P87" i="1"/>
  <c r="P118" i="1"/>
  <c r="P19" i="1"/>
  <c r="P34" i="1"/>
  <c r="P97" i="1"/>
  <c r="P91" i="1"/>
  <c r="P13" i="1"/>
  <c r="P45" i="1"/>
  <c r="P60" i="1"/>
  <c r="P55" i="1"/>
  <c r="P8" i="1"/>
  <c r="P78" i="1"/>
  <c r="P14" i="1"/>
  <c r="P94" i="1"/>
  <c r="P111" i="1"/>
  <c r="P17" i="1"/>
  <c r="P35" i="1"/>
  <c r="P74" i="1"/>
  <c r="P114" i="1"/>
  <c r="P92" i="1"/>
  <c r="P103" i="1"/>
  <c r="P84" i="1"/>
  <c r="P83" i="1"/>
  <c r="P117" i="1"/>
  <c r="P41" i="1"/>
  <c r="P53" i="1"/>
  <c r="P58" i="1"/>
  <c r="P113" i="1"/>
  <c r="P6" i="1"/>
  <c r="P38" i="1"/>
  <c r="P82" i="1"/>
  <c r="P30" i="1"/>
  <c r="P54" i="1"/>
  <c r="P31" i="1"/>
  <c r="P40" i="1"/>
  <c r="P77" i="1"/>
  <c r="P107" i="1"/>
  <c r="P52" i="1"/>
  <c r="P71" i="1"/>
  <c r="P20" i="1"/>
  <c r="P62" i="1"/>
  <c r="P61" i="1"/>
  <c r="P21" i="1"/>
  <c r="P39" i="1"/>
  <c r="P7" i="1"/>
  <c r="P15" i="1"/>
  <c r="P42" i="1"/>
  <c r="P120" i="1"/>
  <c r="P68" i="1"/>
  <c r="P95" i="1"/>
  <c r="P79" i="1"/>
  <c r="P106" i="1"/>
  <c r="P121" i="1"/>
  <c r="P64" i="1"/>
  <c r="P90" i="1"/>
  <c r="P27" i="1"/>
  <c r="P102" i="1"/>
  <c r="P115" i="1"/>
  <c r="P89" i="1"/>
  <c r="P56" i="1"/>
  <c r="P10" i="1"/>
  <c r="P48" i="1"/>
  <c r="P80" i="1"/>
  <c r="P9" i="1"/>
  <c r="P109" i="1"/>
  <c r="P43" i="1"/>
  <c r="P11" i="1"/>
  <c r="P112" i="1"/>
  <c r="D20" i="4"/>
  <c r="D22" i="4"/>
  <c r="D13" i="4"/>
  <c r="D17" i="4"/>
  <c r="E21" i="4"/>
  <c r="D12" i="4"/>
  <c r="D9" i="4"/>
  <c r="D14" i="4"/>
  <c r="D4" i="4"/>
  <c r="E20" i="4"/>
  <c r="D15" i="4"/>
  <c r="E15" i="4"/>
  <c r="E11" i="4"/>
  <c r="D7" i="4"/>
  <c r="D21" i="4"/>
  <c r="E17" i="4"/>
  <c r="E2" i="4"/>
  <c r="E19" i="4"/>
  <c r="D5" i="4"/>
  <c r="E18" i="4"/>
  <c r="D19" i="4"/>
  <c r="E6" i="4"/>
  <c r="D2" i="4"/>
  <c r="E10" i="4"/>
  <c r="E8" i="4"/>
  <c r="D10" i="4"/>
  <c r="E3" i="4"/>
  <c r="E7" i="4"/>
  <c r="D11" i="4"/>
  <c r="E12" i="4"/>
  <c r="E9" i="4"/>
  <c r="E13" i="4"/>
  <c r="D18" i="4"/>
  <c r="E22" i="4"/>
  <c r="D16" i="4"/>
  <c r="E4" i="4"/>
  <c r="E16" i="4"/>
  <c r="D6" i="4"/>
  <c r="E14" i="4"/>
  <c r="D3" i="4"/>
  <c r="E5" i="4"/>
  <c r="D8" i="4"/>
  <c r="Q111" i="1"/>
  <c r="Q10" i="1"/>
  <c r="Q48" i="1"/>
  <c r="Q90" i="1"/>
  <c r="Q83" i="1"/>
  <c r="Q110" i="1"/>
  <c r="Q87" i="1"/>
  <c r="Q14" i="1"/>
  <c r="Q16" i="1"/>
  <c r="Q28" i="1"/>
  <c r="Q66" i="1"/>
  <c r="Q59" i="1"/>
  <c r="Q106" i="1"/>
  <c r="Q54" i="1"/>
  <c r="Q89" i="1"/>
  <c r="Q15" i="1"/>
  <c r="Q122" i="1"/>
  <c r="Q92" i="1"/>
  <c r="Q23" i="1"/>
  <c r="Q98" i="1"/>
  <c r="Q40" i="1"/>
  <c r="Q77" i="1"/>
  <c r="Q93" i="1"/>
  <c r="Q72" i="1"/>
  <c r="Q119" i="1"/>
  <c r="Q27" i="1"/>
  <c r="Q11" i="1"/>
  <c r="Q75" i="1"/>
  <c r="Q6" i="1"/>
  <c r="Q39" i="1"/>
  <c r="Q26" i="1"/>
  <c r="Q82" i="1"/>
  <c r="Q20" i="1"/>
  <c r="Q80" i="1"/>
  <c r="Q73" i="1"/>
  <c r="Q8" i="1"/>
  <c r="Q102" i="1"/>
  <c r="Q74" i="1"/>
  <c r="Q37" i="1"/>
  <c r="Q52" i="1"/>
  <c r="Q18" i="1"/>
  <c r="Q36" i="1"/>
  <c r="Q100" i="1"/>
  <c r="Q42" i="1"/>
  <c r="Q51" i="1"/>
  <c r="Q24" i="1"/>
  <c r="Q107" i="1"/>
  <c r="Q12" i="1"/>
  <c r="Q81" i="1"/>
  <c r="Q63" i="1"/>
  <c r="Q56" i="1"/>
  <c r="Q64" i="1"/>
  <c r="Q29" i="1"/>
  <c r="Q84" i="1"/>
  <c r="Q49" i="1"/>
  <c r="Q116" i="1"/>
  <c r="Q45" i="1"/>
  <c r="Q114" i="1"/>
  <c r="Q99" i="1"/>
  <c r="Q34" i="1"/>
  <c r="Q67" i="1"/>
  <c r="Q17" i="1"/>
  <c r="Q13" i="1"/>
  <c r="Q50" i="1"/>
  <c r="Q43" i="1"/>
  <c r="Q78" i="1"/>
  <c r="Q117" i="1"/>
  <c r="Q101" i="1"/>
  <c r="Q70" i="1"/>
  <c r="Q68" i="1"/>
  <c r="Q44" i="1"/>
  <c r="Q94" i="1"/>
  <c r="Q9" i="1"/>
  <c r="Q95" i="1"/>
  <c r="Q112" i="1"/>
  <c r="Q118" i="1"/>
  <c r="Q38" i="1"/>
  <c r="Q35" i="1"/>
  <c r="Q115" i="1"/>
  <c r="Q62" i="1"/>
  <c r="Q46" i="1"/>
  <c r="Q19" i="1"/>
  <c r="Q91" i="1"/>
  <c r="Q21" i="1"/>
  <c r="Q79" i="1"/>
  <c r="Q33" i="1"/>
  <c r="Q22" i="1"/>
  <c r="Q86" i="1"/>
  <c r="Q105" i="1"/>
  <c r="Q85" i="1"/>
  <c r="Q113" i="1"/>
  <c r="Q25" i="1"/>
  <c r="Q71" i="1"/>
  <c r="Q97" i="1"/>
  <c r="Q57" i="1"/>
  <c r="Q30" i="1"/>
  <c r="Q55" i="1"/>
  <c r="Q61" i="1"/>
  <c r="Q104" i="1"/>
  <c r="Q41" i="1"/>
  <c r="Q47" i="1"/>
  <c r="Q108" i="1"/>
  <c r="Q32" i="1"/>
  <c r="Q69" i="1"/>
  <c r="Q103" i="1"/>
  <c r="Q31" i="1"/>
  <c r="Q120" i="1"/>
  <c r="Q7" i="1"/>
  <c r="Q109" i="1"/>
  <c r="Q88" i="1"/>
  <c r="Q58" i="1"/>
  <c r="Q60" i="1"/>
  <c r="Q76" i="1"/>
  <c r="Q65" i="1"/>
  <c r="Q96" i="1"/>
  <c r="Q53" i="1"/>
  <c r="Q121" i="1"/>
  <c r="N6" i="1"/>
</calcChain>
</file>

<file path=xl/sharedStrings.xml><?xml version="1.0" encoding="utf-8"?>
<sst xmlns="http://schemas.openxmlformats.org/spreadsheetml/2006/main" count="116" uniqueCount="71">
  <si>
    <t>31/12/2021</t>
    <phoneticPr fontId="1" type="noConversion"/>
  </si>
  <si>
    <t>ValueDate</t>
  </si>
  <si>
    <t>Market Handle</t>
  </si>
  <si>
    <t>Parameter</t>
  </si>
  <si>
    <t>UseCache</t>
  </si>
  <si>
    <t>Build</t>
  </si>
  <si>
    <t>CurveType</t>
  </si>
  <si>
    <t>Filter</t>
  </si>
  <si>
    <t>Ccy</t>
  </si>
  <si>
    <t>AUDBondGov</t>
  </si>
  <si>
    <t>AUDSwap</t>
  </si>
  <si>
    <t>GBPOIS</t>
  </si>
  <si>
    <t>JPYOIS</t>
  </si>
  <si>
    <t>AUDSwap3m</t>
  </si>
  <si>
    <t>AUDSwap6m</t>
  </si>
  <si>
    <t>ValueType == 'BondYield' and Currency == 'AUD'</t>
  </si>
  <si>
    <t>Currency == 'GBP' and Context == 'Valuation' and Source == 'BBG' and ValueType == 'SwapRate' and CompoundingFrequency == 'Daily'</t>
  </si>
  <si>
    <t>Currency == 'JPY' and Context == 'Valuation' and Source == 'BBG' and ValueType == 'SwapRate' and CompoundingFrequency == 'Daily'</t>
  </si>
  <si>
    <t>(ValueType == 'DepositRate' and Label.str.contains ('AUDBILL').values) or ValueType == 'SwapRate' and PaymentFrequency == 'Quarterly' and Label.str.startswith('AUDSwap').values or ValueType == 'BasisSwap' and PaymentFrequency == 'SemiAnnual' and Label.str.startswith('AUDBasis6m3m').values</t>
  </si>
  <si>
    <t>(ValueType == 'DepositRate' and Label.str.contains ('AUDBILL').values) or ValueType == 'SwapRate' and PaymentFrequency == 'SemiAnnual' and Label.str.startswith('AUDSwap').values or ValueType == 'BasisSwap' and PaymentFrequency == 'Quarterly' and Label.str.startswith('AUDBasis6m3m').values</t>
  </si>
  <si>
    <t>AUDSwap1m</t>
  </si>
  <si>
    <t>AUCPI</t>
  </si>
  <si>
    <t>AUD.Bond.Gov.BEI</t>
  </si>
  <si>
    <t>YieldCurve</t>
  </si>
  <si>
    <t>IndexFixing</t>
  </si>
  <si>
    <t>InflationCurve</t>
  </si>
  <si>
    <t>(ValueType == 'DepositRate' and Label.str.contains ('AUDBILL').values) or ValueType == 'BasisSwap' and Label.str.startswith('AUDBasis3m1m').values</t>
  </si>
  <si>
    <t>Currency =='AUD' and Context == 'Valuation' and Source == 'BBG' and ValueType == 'BondYield'</t>
  </si>
  <si>
    <t>Currency =='AUD'</t>
  </si>
  <si>
    <t>AUD</t>
  </si>
  <si>
    <t>GBP</t>
  </si>
  <si>
    <t>JPY</t>
  </si>
  <si>
    <t>Label</t>
  </si>
  <si>
    <t>ValueType == 'DepositRate' and Label.str.contains ('AUDBILL').values or ValueType == 'SwapRate' and Label.str.contains ('AUDSwap').values</t>
  </si>
  <si>
    <t>FromDate</t>
  </si>
  <si>
    <t>ToDate</t>
  </si>
  <si>
    <t>Calendar</t>
  </si>
  <si>
    <t>Tenor</t>
  </si>
  <si>
    <t>3m</t>
  </si>
  <si>
    <t>SYD</t>
  </si>
  <si>
    <t>Convention</t>
  </si>
  <si>
    <t>RateType</t>
  </si>
  <si>
    <t>zero</t>
  </si>
  <si>
    <t>Fwd tenor</t>
  </si>
  <si>
    <t>unadjusted</t>
  </si>
  <si>
    <t>Curve Name</t>
  </si>
  <si>
    <t>Handle</t>
  </si>
  <si>
    <t>pillar</t>
  </si>
  <si>
    <t>ShockType</t>
  </si>
  <si>
    <t>ShockAmount</t>
  </si>
  <si>
    <t>Notional</t>
  </si>
  <si>
    <t>Curve</t>
  </si>
  <si>
    <t>Params</t>
  </si>
  <si>
    <t>discountCurve=AUDSwap</t>
  </si>
  <si>
    <t>discountCurve=AUDSwap3m</t>
  </si>
  <si>
    <t>PriceCurve</t>
  </si>
  <si>
    <t>IaaSpread</t>
  </si>
  <si>
    <t>Label == 'RBABondA'</t>
  </si>
  <si>
    <t>discountCurve=AUDBondGov;IndexFixing=AUCPI</t>
  </si>
  <si>
    <t>InterpMethod = previous</t>
  </si>
  <si>
    <t>SpreadYieldCurve</t>
  </si>
  <si>
    <t>AUDIaaCurve</t>
  </si>
  <si>
    <t>spreadCurve=IaaSpread;periods=3m;yearBasis=acton365f;discountCurve=AUDBondGov</t>
  </si>
  <si>
    <t>USDOIS</t>
  </si>
  <si>
    <t>Currency == 'USD' and Context == 'Valuation' and Source == 'BBG' and ValueType == 'SwapRate' and CompoundingFrequency == 'Daily'</t>
  </si>
  <si>
    <t>USD</t>
  </si>
  <si>
    <t>CreditCurve</t>
  </si>
  <si>
    <t>USDCreditSwap</t>
  </si>
  <si>
    <t>ValueType == 'CreditDefaultSwap' and Currency == 'USD'</t>
  </si>
  <si>
    <t>discountCurve=USDOIS</t>
  </si>
  <si>
    <t>SurvivalProb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</si>
</sst>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_);_(* \(#,##0\);_(* &quot;-&quot;??_);_(@_)"/>
    <numFmt numFmtId="166" formatCode="[$-F800]dddd\,\ mmmm\ dd\,\ yyyy"/>
    <numFmt numFmtId="167" formatCode="[$-C09]dd\-mmm\-yy;@"/>
    <numFmt numFmtId="168" formatCode="_(* #,##0.00000000_);_(* \(#,##0.00000000\);_(* &quot;-&quot;??_);_(@_)"/>
  </numFmts>
  <fonts count="7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0">
    <xf numFmtId="0" fontId="0" fillId="0" borderId="0"/>
    <xf numFmtId="164" fontId="2" fillId="0" borderId="0" applyFont="0" applyFill="0" applyBorder="0" applyAlignment="0" applyProtection="0">
      <alignment vertical="center"/>
    </xf>
    <xf numFmtId="0" fontId="4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9" fontId="2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NumberFormat="1"/>
    <xf numFmtId="14" fontId="0" fillId="0" borderId="0" xfId="0" applyNumberFormat="1"/>
    <xf numFmtId="0" fontId="3" fillId="0" borderId="0" xfId="0" applyFont="1"/>
    <xf numFmtId="165" fontId="0" fillId="0" borderId="0" xfId="1" applyNumberFormat="1" applyFont="1" applyAlignment="1"/>
    <xf numFmtId="166" fontId="0" fillId="0" borderId="0" xfId="0" applyNumberFormat="1"/>
    <xf numFmtId="0" fontId="5" fillId="7" borderId="0" xfId="0" applyFont="1" applyFill="1"/>
    <xf numFmtId="14" fontId="2" fillId="6" borderId="1" xfId="6" applyNumberFormat="1" applyBorder="1"/>
    <xf numFmtId="0" fontId="4" fillId="2" borderId="0" xfId="2"/>
    <xf numFmtId="0" fontId="2" fillId="4" borderId="0" xfId="4"/>
    <xf numFmtId="0" fontId="6" fillId="3" borderId="0" xfId="3" applyFont="1"/>
    <xf numFmtId="0" fontId="2" fillId="6" borderId="0" xfId="6"/>
    <xf numFmtId="0" fontId="2" fillId="5" borderId="0" xfId="5"/>
    <xf numFmtId="0" fontId="2" fillId="6" borderId="0" xfId="6" applyAlignment="1"/>
    <xf numFmtId="0" fontId="2" fillId="5" borderId="0" xfId="5" applyAlignment="1"/>
    <xf numFmtId="166" fontId="2" fillId="6" borderId="0" xfId="6" applyNumberFormat="1"/>
    <xf numFmtId="166" fontId="2" fillId="5" borderId="0" xfId="5" applyNumberFormat="1"/>
    <xf numFmtId="167" fontId="0" fillId="0" borderId="0" xfId="0" applyNumberFormat="1"/>
    <xf numFmtId="0" fontId="0" fillId="0" borderId="0" xfId="1" applyNumberFormat="1" applyFont="1" applyAlignment="1"/>
    <xf numFmtId="168" fontId="0" fillId="0" borderId="0" xfId="1" applyNumberFormat="1" applyFont="1" applyAlignment="1"/>
    <xf numFmtId="167" fontId="2" fillId="9" borderId="0" xfId="8" applyNumberFormat="1"/>
    <xf numFmtId="10" fontId="2" fillId="9" borderId="0" xfId="8" applyNumberFormat="1"/>
    <xf numFmtId="10" fontId="2" fillId="9" borderId="0" xfId="8" applyNumberFormat="1" applyAlignment="1"/>
    <xf numFmtId="167" fontId="2" fillId="8" borderId="0" xfId="7" applyNumberFormat="1"/>
    <xf numFmtId="10" fontId="2" fillId="8" borderId="0" xfId="7" applyNumberFormat="1"/>
    <xf numFmtId="10" fontId="2" fillId="8" borderId="0" xfId="7" applyNumberFormat="1" applyAlignment="1"/>
    <xf numFmtId="14" fontId="2" fillId="6" borderId="0" xfId="6" applyNumberFormat="1" applyAlignment="1">
      <alignment horizontal="right"/>
    </xf>
    <xf numFmtId="14" fontId="2" fillId="5" borderId="0" xfId="5" applyNumberFormat="1" applyAlignment="1">
      <alignment horizontal="right"/>
    </xf>
    <xf numFmtId="0" fontId="2" fillId="6" borderId="0" xfId="6" applyNumberFormat="1"/>
    <xf numFmtId="0" fontId="2" fillId="5" borderId="0" xfId="5" applyNumberFormat="1"/>
    <xf numFmtId="0" fontId="2" fillId="9" borderId="0" xfId="8"/>
    <xf numFmtId="165" fontId="2" fillId="9" borderId="0" xfId="8" applyNumberFormat="1" applyAlignment="1"/>
    <xf numFmtId="0" fontId="2" fillId="8" borderId="0" xfId="7"/>
    <xf numFmtId="165" fontId="2" fillId="8" borderId="0" xfId="7" applyNumberFormat="1" applyAlignment="1"/>
    <xf numFmtId="10" fontId="0" fillId="0" borderId="0" xfId="9" applyNumberFormat="1" applyFont="1"/>
  </cellXfs>
  <cellStyles count="10">
    <cellStyle name="20% - Accent6" xfId="7" builtinId="50"/>
    <cellStyle name="40% - Accent3" xfId="3" builtinId="39"/>
    <cellStyle name="40% - Accent4" xfId="5" builtinId="43"/>
    <cellStyle name="40% - Accent6" xfId="8" builtinId="51"/>
    <cellStyle name="60% - Accent3" xfId="4" builtinId="40"/>
    <cellStyle name="60% - Accent4" xfId="6" builtinId="44"/>
    <cellStyle name="Comma" xfId="1" builtinId="3"/>
    <cellStyle name="Good" xfId="2" builtinId="26"/>
    <cellStyle name="Normal" xfId="0" builtinId="0"/>
    <cellStyle name="Percent" xfId="9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YieldCurve!$O$6</c:f>
              <c:strCache>
                <c:ptCount val="1"/>
                <c:pt idx="0">
                  <c:v>AUDBondGov.ZeroRates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YieldCurve!$N$7:$N$122</c:f>
              <c:strCache>
                <c:ptCount val="116"/>
                <c:pt idx="0">
                  <c:v>30/03/2022</c:v>
                </c:pt>
                <c:pt idx="1">
                  <c:v>30/06/2022</c:v>
                </c:pt>
                <c:pt idx="2">
                  <c:v>30/09/2022</c:v>
                </c:pt>
                <c:pt idx="3">
                  <c:v>30/12/2022</c:v>
                </c:pt>
                <c:pt idx="4">
                  <c:v>30/03/2023</c:v>
                </c:pt>
                <c:pt idx="5">
                  <c:v>30/06/2023</c:v>
                </c:pt>
                <c:pt idx="6">
                  <c:v>30/09/2023</c:v>
                </c:pt>
                <c:pt idx="7">
                  <c:v>30/12/2023</c:v>
                </c:pt>
                <c:pt idx="8">
                  <c:v>30/03/2024</c:v>
                </c:pt>
                <c:pt idx="9">
                  <c:v>30/06/2024</c:v>
                </c:pt>
                <c:pt idx="10">
                  <c:v>30/09/2024</c:v>
                </c:pt>
                <c:pt idx="11">
                  <c:v>30/12/2024</c:v>
                </c:pt>
                <c:pt idx="12">
                  <c:v>30/03/2025</c:v>
                </c:pt>
                <c:pt idx="13">
                  <c:v>30/06/2025</c:v>
                </c:pt>
                <c:pt idx="14">
                  <c:v>30/09/2025</c:v>
                </c:pt>
                <c:pt idx="15">
                  <c:v>30/12/2025</c:v>
                </c:pt>
                <c:pt idx="16">
                  <c:v>30/03/2026</c:v>
                </c:pt>
                <c:pt idx="17">
                  <c:v>30/06/2026</c:v>
                </c:pt>
                <c:pt idx="18">
                  <c:v>30/09/2026</c:v>
                </c:pt>
                <c:pt idx="19">
                  <c:v>30/12/2026</c:v>
                </c:pt>
                <c:pt idx="20">
                  <c:v>30/03/2027</c:v>
                </c:pt>
                <c:pt idx="21">
                  <c:v>30/06/2027</c:v>
                </c:pt>
                <c:pt idx="22">
                  <c:v>30/09/2027</c:v>
                </c:pt>
                <c:pt idx="23">
                  <c:v>30/12/2027</c:v>
                </c:pt>
                <c:pt idx="24">
                  <c:v>30/03/2028</c:v>
                </c:pt>
                <c:pt idx="25">
                  <c:v>30/06/2028</c:v>
                </c:pt>
                <c:pt idx="26">
                  <c:v>30/09/2028</c:v>
                </c:pt>
                <c:pt idx="27">
                  <c:v>30/12/2028</c:v>
                </c:pt>
                <c:pt idx="28">
                  <c:v>30/03/2029</c:v>
                </c:pt>
                <c:pt idx="29">
                  <c:v>30/06/2029</c:v>
                </c:pt>
                <c:pt idx="30">
                  <c:v>30/09/2029</c:v>
                </c:pt>
                <c:pt idx="31">
                  <c:v>30/12/2029</c:v>
                </c:pt>
                <c:pt idx="32">
                  <c:v>30/03/2030</c:v>
                </c:pt>
                <c:pt idx="33">
                  <c:v>30/06/2030</c:v>
                </c:pt>
                <c:pt idx="34">
                  <c:v>30/09/2030</c:v>
                </c:pt>
                <c:pt idx="35">
                  <c:v>30/12/2030</c:v>
                </c:pt>
                <c:pt idx="36">
                  <c:v>30/03/2031</c:v>
                </c:pt>
                <c:pt idx="37">
                  <c:v>30/06/2031</c:v>
                </c:pt>
                <c:pt idx="38">
                  <c:v>30/09/2031</c:v>
                </c:pt>
                <c:pt idx="39">
                  <c:v>30/12/2031</c:v>
                </c:pt>
                <c:pt idx="40">
                  <c:v>30/03/2032</c:v>
                </c:pt>
                <c:pt idx="41">
                  <c:v>30/06/2032</c:v>
                </c:pt>
                <c:pt idx="42">
                  <c:v>30/09/2032</c:v>
                </c:pt>
                <c:pt idx="43">
                  <c:v>30/12/2032</c:v>
                </c:pt>
                <c:pt idx="44">
                  <c:v>30/03/2033</c:v>
                </c:pt>
                <c:pt idx="45">
                  <c:v>30/06/2033</c:v>
                </c:pt>
                <c:pt idx="46">
                  <c:v>30/09/2033</c:v>
                </c:pt>
                <c:pt idx="47">
                  <c:v>30/12/2033</c:v>
                </c:pt>
                <c:pt idx="48">
                  <c:v>30/03/2034</c:v>
                </c:pt>
                <c:pt idx="49">
                  <c:v>30/06/2034</c:v>
                </c:pt>
                <c:pt idx="50">
                  <c:v>30/09/2034</c:v>
                </c:pt>
                <c:pt idx="51">
                  <c:v>30/12/2034</c:v>
                </c:pt>
                <c:pt idx="52">
                  <c:v>30/03/2035</c:v>
                </c:pt>
                <c:pt idx="53">
                  <c:v>30/06/2035</c:v>
                </c:pt>
                <c:pt idx="54">
                  <c:v>30/09/2035</c:v>
                </c:pt>
                <c:pt idx="55">
                  <c:v>30/12/2035</c:v>
                </c:pt>
                <c:pt idx="56">
                  <c:v>30/03/2036</c:v>
                </c:pt>
                <c:pt idx="57">
                  <c:v>30/06/2036</c:v>
                </c:pt>
                <c:pt idx="58">
                  <c:v>30/09/2036</c:v>
                </c:pt>
                <c:pt idx="59">
                  <c:v>30/12/2036</c:v>
                </c:pt>
                <c:pt idx="60">
                  <c:v>30/03/2037</c:v>
                </c:pt>
                <c:pt idx="61">
                  <c:v>30/06/2037</c:v>
                </c:pt>
                <c:pt idx="62">
                  <c:v>30/09/2037</c:v>
                </c:pt>
                <c:pt idx="63">
                  <c:v>30/12/2037</c:v>
                </c:pt>
                <c:pt idx="64">
                  <c:v>30/03/2038</c:v>
                </c:pt>
                <c:pt idx="65">
                  <c:v>30/06/2038</c:v>
                </c:pt>
                <c:pt idx="66">
                  <c:v>30/09/2038</c:v>
                </c:pt>
                <c:pt idx="67">
                  <c:v>30/12/2038</c:v>
                </c:pt>
                <c:pt idx="68">
                  <c:v>30/03/2039</c:v>
                </c:pt>
                <c:pt idx="69">
                  <c:v>30/06/2039</c:v>
                </c:pt>
                <c:pt idx="70">
                  <c:v>30/09/2039</c:v>
                </c:pt>
                <c:pt idx="71">
                  <c:v>30/12/2039</c:v>
                </c:pt>
                <c:pt idx="72">
                  <c:v>30/03/2040</c:v>
                </c:pt>
                <c:pt idx="73">
                  <c:v>30/06/2040</c:v>
                </c:pt>
                <c:pt idx="74">
                  <c:v>30/09/2040</c:v>
                </c:pt>
                <c:pt idx="75">
                  <c:v>30/12/2040</c:v>
                </c:pt>
                <c:pt idx="76">
                  <c:v>30/03/2041</c:v>
                </c:pt>
                <c:pt idx="77">
                  <c:v>30/06/2041</c:v>
                </c:pt>
                <c:pt idx="78">
                  <c:v>30/09/2041</c:v>
                </c:pt>
                <c:pt idx="79">
                  <c:v>30/12/2041</c:v>
                </c:pt>
                <c:pt idx="80">
                  <c:v>30/03/2042</c:v>
                </c:pt>
                <c:pt idx="81">
                  <c:v>30/06/2042</c:v>
                </c:pt>
                <c:pt idx="82">
                  <c:v>30/09/2042</c:v>
                </c:pt>
                <c:pt idx="83">
                  <c:v>30/12/2042</c:v>
                </c:pt>
                <c:pt idx="84">
                  <c:v>30/03/2043</c:v>
                </c:pt>
                <c:pt idx="85">
                  <c:v>30/06/2043</c:v>
                </c:pt>
                <c:pt idx="86">
                  <c:v>30/09/2043</c:v>
                </c:pt>
                <c:pt idx="87">
                  <c:v>30/12/2043</c:v>
                </c:pt>
                <c:pt idx="88">
                  <c:v>30/03/2044</c:v>
                </c:pt>
                <c:pt idx="89">
                  <c:v>30/06/2044</c:v>
                </c:pt>
                <c:pt idx="90">
                  <c:v>30/09/2044</c:v>
                </c:pt>
                <c:pt idx="91">
                  <c:v>30/12/2044</c:v>
                </c:pt>
                <c:pt idx="92">
                  <c:v>30/03/2045</c:v>
                </c:pt>
                <c:pt idx="93">
                  <c:v>30/06/2045</c:v>
                </c:pt>
                <c:pt idx="94">
                  <c:v>30/09/2045</c:v>
                </c:pt>
                <c:pt idx="95">
                  <c:v>30/12/2045</c:v>
                </c:pt>
                <c:pt idx="96">
                  <c:v>30/03/2046</c:v>
                </c:pt>
                <c:pt idx="97">
                  <c:v>30/06/2046</c:v>
                </c:pt>
                <c:pt idx="98">
                  <c:v>30/09/2046</c:v>
                </c:pt>
                <c:pt idx="99">
                  <c:v>30/12/2046</c:v>
                </c:pt>
                <c:pt idx="100">
                  <c:v>30/03/2047</c:v>
                </c:pt>
                <c:pt idx="101">
                  <c:v>30/06/2047</c:v>
                </c:pt>
                <c:pt idx="102">
                  <c:v>30/09/2047</c:v>
                </c:pt>
                <c:pt idx="103">
                  <c:v>30/12/2047</c:v>
                </c:pt>
                <c:pt idx="104">
                  <c:v>30/03/2048</c:v>
                </c:pt>
                <c:pt idx="105">
                  <c:v>30/06/2048</c:v>
                </c:pt>
                <c:pt idx="106">
                  <c:v>30/09/2048</c:v>
                </c:pt>
                <c:pt idx="107">
                  <c:v>30/12/2048</c:v>
                </c:pt>
                <c:pt idx="108">
                  <c:v>30/03/2049</c:v>
                </c:pt>
                <c:pt idx="109">
                  <c:v>30/06/2049</c:v>
                </c:pt>
                <c:pt idx="110">
                  <c:v>30/09/2049</c:v>
                </c:pt>
                <c:pt idx="111">
                  <c:v>30/12/2049</c:v>
                </c:pt>
                <c:pt idx="112">
                  <c:v>30/03/2050</c:v>
                </c:pt>
                <c:pt idx="113">
                  <c:v>30/06/2050</c:v>
                </c:pt>
                <c:pt idx="114">
                  <c:v>30/09/2050</c:v>
                </c:pt>
                <c:pt idx="115">
                  <c:v>31/12/2050</c:v>
                </c:pt>
              </c:strCache>
            </c:strRef>
          </c:cat>
          <c:val>
            <c:numRef>
              <c:f>YieldCurve!$O$7:$O$122</c:f>
              <c:numCache>
                <c:formatCode>0.00%</c:formatCode>
                <c:ptCount val="116"/>
                <c:pt idx="0">
                  <c:v>8.2587081011777574E-4</c:v>
                </c:pt>
                <c:pt idx="1">
                  <c:v>8.2595676888610765E-4</c:v>
                </c:pt>
                <c:pt idx="2">
                  <c:v>1.9044673356880724E-3</c:v>
                </c:pt>
                <c:pt idx="3">
                  <c:v>2.6701937587860197E-3</c:v>
                </c:pt>
                <c:pt idx="4">
                  <c:v>3.209544895376447E-3</c:v>
                </c:pt>
                <c:pt idx="5">
                  <c:v>4.0789175336255843E-3</c:v>
                </c:pt>
                <c:pt idx="6">
                  <c:v>4.8350899616342079E-3</c:v>
                </c:pt>
                <c:pt idx="7">
                  <c:v>5.3979886088293622E-3</c:v>
                </c:pt>
                <c:pt idx="8">
                  <c:v>5.8383469010214167E-3</c:v>
                </c:pt>
                <c:pt idx="9">
                  <c:v>7.1653110156766706E-3</c:v>
                </c:pt>
                <c:pt idx="10">
                  <c:v>8.5356614530931636E-3</c:v>
                </c:pt>
                <c:pt idx="11">
                  <c:v>9.7892135571882033E-3</c:v>
                </c:pt>
                <c:pt idx="12">
                  <c:v>1.0990393762130977E-2</c:v>
                </c:pt>
                <c:pt idx="13">
                  <c:v>1.1725218696269817E-2</c:v>
                </c:pt>
                <c:pt idx="14">
                  <c:v>1.227160098542128E-2</c:v>
                </c:pt>
                <c:pt idx="15">
                  <c:v>1.2739619846080186E-2</c:v>
                </c:pt>
                <c:pt idx="16">
                  <c:v>1.3140600092324961E-2</c:v>
                </c:pt>
                <c:pt idx="17">
                  <c:v>1.3458644033522902E-2</c:v>
                </c:pt>
                <c:pt idx="18">
                  <c:v>1.3740036344624673E-2</c:v>
                </c:pt>
                <c:pt idx="19">
                  <c:v>1.406443007113185E-2</c:v>
                </c:pt>
                <c:pt idx="20">
                  <c:v>1.4359418855721496E-2</c:v>
                </c:pt>
                <c:pt idx="21">
                  <c:v>1.464257787221258E-2</c:v>
                </c:pt>
                <c:pt idx="22">
                  <c:v>1.490661926632815E-2</c:v>
                </c:pt>
                <c:pt idx="23">
                  <c:v>1.5189680318664744E-2</c:v>
                </c:pt>
                <c:pt idx="24">
                  <c:v>1.5505431668349385E-2</c:v>
                </c:pt>
                <c:pt idx="25">
                  <c:v>1.5804313478091355E-2</c:v>
                </c:pt>
                <c:pt idx="26">
                  <c:v>1.6084907573207928E-2</c:v>
                </c:pt>
                <c:pt idx="27">
                  <c:v>1.6331272262172687E-2</c:v>
                </c:pt>
                <c:pt idx="28">
                  <c:v>1.6542175372904581E-2</c:v>
                </c:pt>
                <c:pt idx="29">
                  <c:v>1.6778264491297067E-2</c:v>
                </c:pt>
                <c:pt idx="30">
                  <c:v>1.7012549263906003E-2</c:v>
                </c:pt>
                <c:pt idx="31">
                  <c:v>1.722260182861831E-2</c:v>
                </c:pt>
                <c:pt idx="32">
                  <c:v>1.7407206381471689E-2</c:v>
                </c:pt>
                <c:pt idx="33">
                  <c:v>1.7564928547482334E-2</c:v>
                </c:pt>
                <c:pt idx="34">
                  <c:v>1.7687066291208441E-2</c:v>
                </c:pt>
                <c:pt idx="35">
                  <c:v>1.780711103226006E-2</c:v>
                </c:pt>
                <c:pt idx="36">
                  <c:v>1.7949482263686832E-2</c:v>
                </c:pt>
                <c:pt idx="37">
                  <c:v>1.8084590473592843E-2</c:v>
                </c:pt>
                <c:pt idx="38">
                  <c:v>1.8162935854257E-2</c:v>
                </c:pt>
                <c:pt idx="39">
                  <c:v>1.8272430117706143E-2</c:v>
                </c:pt>
                <c:pt idx="40">
                  <c:v>1.842303189508214E-2</c:v>
                </c:pt>
                <c:pt idx="41">
                  <c:v>1.8608005619705877E-2</c:v>
                </c:pt>
                <c:pt idx="42">
                  <c:v>1.8834877017387407E-2</c:v>
                </c:pt>
                <c:pt idx="43">
                  <c:v>1.9052860985356489E-2</c:v>
                </c:pt>
                <c:pt idx="44">
                  <c:v>1.9262607061603976E-2</c:v>
                </c:pt>
                <c:pt idx="45">
                  <c:v>1.9564215671182033E-2</c:v>
                </c:pt>
                <c:pt idx="46">
                  <c:v>1.9886486726079629E-2</c:v>
                </c:pt>
                <c:pt idx="47">
                  <c:v>2.0197028342568424E-2</c:v>
                </c:pt>
                <c:pt idx="48">
                  <c:v>2.049663581322116E-2</c:v>
                </c:pt>
                <c:pt idx="49">
                  <c:v>2.079566726093407E-2</c:v>
                </c:pt>
                <c:pt idx="50">
                  <c:v>2.1087850503235188E-2</c:v>
                </c:pt>
                <c:pt idx="51">
                  <c:v>2.1370545171266166E-2</c:v>
                </c:pt>
                <c:pt idx="52">
                  <c:v>2.1644339393714036E-2</c:v>
                </c:pt>
                <c:pt idx="53">
                  <c:v>2.19339035384046E-2</c:v>
                </c:pt>
                <c:pt idx="54">
                  <c:v>2.2357247154818651E-2</c:v>
                </c:pt>
                <c:pt idx="55">
                  <c:v>2.2767982295827428E-2</c:v>
                </c:pt>
                <c:pt idx="56">
                  <c:v>2.3171232957641903E-2</c:v>
                </c:pt>
                <c:pt idx="57">
                  <c:v>2.3571760126000083E-2</c:v>
                </c:pt>
                <c:pt idx="58">
                  <c:v>2.39655204267714E-2</c:v>
                </c:pt>
                <c:pt idx="59">
                  <c:v>2.4348736333140959E-2</c:v>
                </c:pt>
                <c:pt idx="60">
                  <c:v>2.4721969928113093E-2</c:v>
                </c:pt>
                <c:pt idx="61">
                  <c:v>2.5092685495762542E-2</c:v>
                </c:pt>
                <c:pt idx="62">
                  <c:v>2.5456525989443132E-2</c:v>
                </c:pt>
                <c:pt idx="63">
                  <c:v>2.5811572713008407E-2</c:v>
                </c:pt>
                <c:pt idx="64">
                  <c:v>2.6158255332821054E-2</c:v>
                </c:pt>
                <c:pt idx="65">
                  <c:v>2.6508317302667669E-2</c:v>
                </c:pt>
                <c:pt idx="66">
                  <c:v>2.685425763889528E-2</c:v>
                </c:pt>
                <c:pt idx="67">
                  <c:v>2.7192616416135115E-2</c:v>
                </c:pt>
                <c:pt idx="68">
                  <c:v>2.7523732827087286E-2</c:v>
                </c:pt>
                <c:pt idx="69">
                  <c:v>2.7858229749126884E-2</c:v>
                </c:pt>
                <c:pt idx="70">
                  <c:v>2.8184317342062639E-2</c:v>
                </c:pt>
                <c:pt idx="71">
                  <c:v>2.8503908475568079E-2</c:v>
                </c:pt>
                <c:pt idx="72">
                  <c:v>2.8820734980389794E-2</c:v>
                </c:pt>
                <c:pt idx="73">
                  <c:v>2.9138397833636396E-2</c:v>
                </c:pt>
                <c:pt idx="74">
                  <c:v>2.9453559114498085E-2</c:v>
                </c:pt>
                <c:pt idx="75">
                  <c:v>2.9762981591665273E-2</c:v>
                </c:pt>
                <c:pt idx="76">
                  <c:v>3.0066877587473437E-2</c:v>
                </c:pt>
                <c:pt idx="77">
                  <c:v>3.0339060142821145E-2</c:v>
                </c:pt>
                <c:pt idx="78">
                  <c:v>3.0562530450853057E-2</c:v>
                </c:pt>
                <c:pt idx="79">
                  <c:v>3.0782527450135138E-2</c:v>
                </c:pt>
                <c:pt idx="80">
                  <c:v>3.099915564253165E-2</c:v>
                </c:pt>
                <c:pt idx="81">
                  <c:v>3.1219688974184093E-2</c:v>
                </c:pt>
                <c:pt idx="82">
                  <c:v>3.1439370340576665E-2</c:v>
                </c:pt>
                <c:pt idx="83">
                  <c:v>3.1655888843131606E-2</c:v>
                </c:pt>
                <c:pt idx="84">
                  <c:v>3.1869328525753977E-2</c:v>
                </c:pt>
                <c:pt idx="85">
                  <c:v>3.2086850031390397E-2</c:v>
                </c:pt>
                <c:pt idx="86">
                  <c:v>3.2303759102275814E-2</c:v>
                </c:pt>
                <c:pt idx="87">
                  <c:v>3.251776110872117E-2</c:v>
                </c:pt>
                <c:pt idx="88">
                  <c:v>3.2731267274481071E-2</c:v>
                </c:pt>
                <c:pt idx="89">
                  <c:v>3.2946664924101067E-2</c:v>
                </c:pt>
                <c:pt idx="90">
                  <c:v>3.3161653160244491E-2</c:v>
                </c:pt>
                <c:pt idx="91">
                  <c:v>3.3373947028159878E-2</c:v>
                </c:pt>
                <c:pt idx="92">
                  <c:v>3.3583600509182007E-2</c:v>
                </c:pt>
                <c:pt idx="93">
                  <c:v>3.3797638725669307E-2</c:v>
                </c:pt>
                <c:pt idx="94">
                  <c:v>3.401144059230847E-2</c:v>
                </c:pt>
                <c:pt idx="95">
                  <c:v>3.4222724946866005E-2</c:v>
                </c:pt>
                <c:pt idx="96">
                  <c:v>3.4431534612330492E-2</c:v>
                </c:pt>
                <c:pt idx="97">
                  <c:v>3.4644863546196114E-2</c:v>
                </c:pt>
                <c:pt idx="98">
                  <c:v>3.485810568775681E-2</c:v>
                </c:pt>
                <c:pt idx="99">
                  <c:v>3.5068978464599082E-2</c:v>
                </c:pt>
                <c:pt idx="100">
                  <c:v>3.5259807944554085E-2</c:v>
                </c:pt>
                <c:pt idx="101">
                  <c:v>3.5292694020474351E-2</c:v>
                </c:pt>
                <c:pt idx="102">
                  <c:v>3.5326878729260568E-2</c:v>
                </c:pt>
                <c:pt idx="103">
                  <c:v>3.5361942099551007E-2</c:v>
                </c:pt>
                <c:pt idx="104">
                  <c:v>3.5398222900159766E-2</c:v>
                </c:pt>
                <c:pt idx="105">
                  <c:v>3.5436114608089049E-2</c:v>
                </c:pt>
                <c:pt idx="106">
                  <c:v>3.5475200579628975E-2</c:v>
                </c:pt>
                <c:pt idx="107">
                  <c:v>3.5515013333588689E-2</c:v>
                </c:pt>
                <c:pt idx="108">
                  <c:v>3.5555493425101281E-2</c:v>
                </c:pt>
                <c:pt idx="109">
                  <c:v>3.559798727342469E-2</c:v>
                </c:pt>
                <c:pt idx="110">
                  <c:v>3.5641586648789469E-2</c:v>
                </c:pt>
                <c:pt idx="111">
                  <c:v>3.5685779818654367E-2</c:v>
                </c:pt>
                <c:pt idx="112">
                  <c:v>3.573051321279893E-2</c:v>
                </c:pt>
                <c:pt idx="113">
                  <c:v>3.5777276771877836E-2</c:v>
                </c:pt>
                <c:pt idx="114">
                  <c:v>3.5825069867039358E-2</c:v>
                </c:pt>
                <c:pt idx="115">
                  <c:v>3.5873875100712514E-2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F6-498A-861E-7EA832C3EBD8}"/>
            </c:ext>
          </c:extLst>
        </c:ser>
        <c:ser>
          <c:idx val="1"/>
          <c:order val="1"/>
          <c:tx>
            <c:strRef>
              <c:f>YieldCurve!$P$6</c:f>
              <c:strCache>
                <c:ptCount val="1"/>
                <c:pt idx="0">
                  <c:v>AUDSwap.ZeroRates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YieldCurve!$N$7:$N$122</c:f>
              <c:strCache>
                <c:ptCount val="116"/>
                <c:pt idx="0">
                  <c:v>30/03/2022</c:v>
                </c:pt>
                <c:pt idx="1">
                  <c:v>30/06/2022</c:v>
                </c:pt>
                <c:pt idx="2">
                  <c:v>30/09/2022</c:v>
                </c:pt>
                <c:pt idx="3">
                  <c:v>30/12/2022</c:v>
                </c:pt>
                <c:pt idx="4">
                  <c:v>30/03/2023</c:v>
                </c:pt>
                <c:pt idx="5">
                  <c:v>30/06/2023</c:v>
                </c:pt>
                <c:pt idx="6">
                  <c:v>30/09/2023</c:v>
                </c:pt>
                <c:pt idx="7">
                  <c:v>30/12/2023</c:v>
                </c:pt>
                <c:pt idx="8">
                  <c:v>30/03/2024</c:v>
                </c:pt>
                <c:pt idx="9">
                  <c:v>30/06/2024</c:v>
                </c:pt>
                <c:pt idx="10">
                  <c:v>30/09/2024</c:v>
                </c:pt>
                <c:pt idx="11">
                  <c:v>30/12/2024</c:v>
                </c:pt>
                <c:pt idx="12">
                  <c:v>30/03/2025</c:v>
                </c:pt>
                <c:pt idx="13">
                  <c:v>30/06/2025</c:v>
                </c:pt>
                <c:pt idx="14">
                  <c:v>30/09/2025</c:v>
                </c:pt>
                <c:pt idx="15">
                  <c:v>30/12/2025</c:v>
                </c:pt>
                <c:pt idx="16">
                  <c:v>30/03/2026</c:v>
                </c:pt>
                <c:pt idx="17">
                  <c:v>30/06/2026</c:v>
                </c:pt>
                <c:pt idx="18">
                  <c:v>30/09/2026</c:v>
                </c:pt>
                <c:pt idx="19">
                  <c:v>30/12/2026</c:v>
                </c:pt>
                <c:pt idx="20">
                  <c:v>30/03/2027</c:v>
                </c:pt>
                <c:pt idx="21">
                  <c:v>30/06/2027</c:v>
                </c:pt>
                <c:pt idx="22">
                  <c:v>30/09/2027</c:v>
                </c:pt>
                <c:pt idx="23">
                  <c:v>30/12/2027</c:v>
                </c:pt>
                <c:pt idx="24">
                  <c:v>30/03/2028</c:v>
                </c:pt>
                <c:pt idx="25">
                  <c:v>30/06/2028</c:v>
                </c:pt>
                <c:pt idx="26">
                  <c:v>30/09/2028</c:v>
                </c:pt>
                <c:pt idx="27">
                  <c:v>30/12/2028</c:v>
                </c:pt>
                <c:pt idx="28">
                  <c:v>30/03/2029</c:v>
                </c:pt>
                <c:pt idx="29">
                  <c:v>30/06/2029</c:v>
                </c:pt>
                <c:pt idx="30">
                  <c:v>30/09/2029</c:v>
                </c:pt>
                <c:pt idx="31">
                  <c:v>30/12/2029</c:v>
                </c:pt>
                <c:pt idx="32">
                  <c:v>30/03/2030</c:v>
                </c:pt>
                <c:pt idx="33">
                  <c:v>30/06/2030</c:v>
                </c:pt>
                <c:pt idx="34">
                  <c:v>30/09/2030</c:v>
                </c:pt>
                <c:pt idx="35">
                  <c:v>30/12/2030</c:v>
                </c:pt>
                <c:pt idx="36">
                  <c:v>30/03/2031</c:v>
                </c:pt>
                <c:pt idx="37">
                  <c:v>30/06/2031</c:v>
                </c:pt>
                <c:pt idx="38">
                  <c:v>30/09/2031</c:v>
                </c:pt>
                <c:pt idx="39">
                  <c:v>30/12/2031</c:v>
                </c:pt>
                <c:pt idx="40">
                  <c:v>30/03/2032</c:v>
                </c:pt>
                <c:pt idx="41">
                  <c:v>30/06/2032</c:v>
                </c:pt>
                <c:pt idx="42">
                  <c:v>30/09/2032</c:v>
                </c:pt>
                <c:pt idx="43">
                  <c:v>30/12/2032</c:v>
                </c:pt>
                <c:pt idx="44">
                  <c:v>30/03/2033</c:v>
                </c:pt>
                <c:pt idx="45">
                  <c:v>30/06/2033</c:v>
                </c:pt>
                <c:pt idx="46">
                  <c:v>30/09/2033</c:v>
                </c:pt>
                <c:pt idx="47">
                  <c:v>30/12/2033</c:v>
                </c:pt>
                <c:pt idx="48">
                  <c:v>30/03/2034</c:v>
                </c:pt>
                <c:pt idx="49">
                  <c:v>30/06/2034</c:v>
                </c:pt>
                <c:pt idx="50">
                  <c:v>30/09/2034</c:v>
                </c:pt>
                <c:pt idx="51">
                  <c:v>30/12/2034</c:v>
                </c:pt>
                <c:pt idx="52">
                  <c:v>30/03/2035</c:v>
                </c:pt>
                <c:pt idx="53">
                  <c:v>30/06/2035</c:v>
                </c:pt>
                <c:pt idx="54">
                  <c:v>30/09/2035</c:v>
                </c:pt>
                <c:pt idx="55">
                  <c:v>30/12/2035</c:v>
                </c:pt>
                <c:pt idx="56">
                  <c:v>30/03/2036</c:v>
                </c:pt>
                <c:pt idx="57">
                  <c:v>30/06/2036</c:v>
                </c:pt>
                <c:pt idx="58">
                  <c:v>30/09/2036</c:v>
                </c:pt>
                <c:pt idx="59">
                  <c:v>30/12/2036</c:v>
                </c:pt>
                <c:pt idx="60">
                  <c:v>30/03/2037</c:v>
                </c:pt>
                <c:pt idx="61">
                  <c:v>30/06/2037</c:v>
                </c:pt>
                <c:pt idx="62">
                  <c:v>30/09/2037</c:v>
                </c:pt>
                <c:pt idx="63">
                  <c:v>30/12/2037</c:v>
                </c:pt>
                <c:pt idx="64">
                  <c:v>30/03/2038</c:v>
                </c:pt>
                <c:pt idx="65">
                  <c:v>30/06/2038</c:v>
                </c:pt>
                <c:pt idx="66">
                  <c:v>30/09/2038</c:v>
                </c:pt>
                <c:pt idx="67">
                  <c:v>30/12/2038</c:v>
                </c:pt>
                <c:pt idx="68">
                  <c:v>30/03/2039</c:v>
                </c:pt>
                <c:pt idx="69">
                  <c:v>30/06/2039</c:v>
                </c:pt>
                <c:pt idx="70">
                  <c:v>30/09/2039</c:v>
                </c:pt>
                <c:pt idx="71">
                  <c:v>30/12/2039</c:v>
                </c:pt>
                <c:pt idx="72">
                  <c:v>30/03/2040</c:v>
                </c:pt>
                <c:pt idx="73">
                  <c:v>30/06/2040</c:v>
                </c:pt>
                <c:pt idx="74">
                  <c:v>30/09/2040</c:v>
                </c:pt>
                <c:pt idx="75">
                  <c:v>30/12/2040</c:v>
                </c:pt>
                <c:pt idx="76">
                  <c:v>30/03/2041</c:v>
                </c:pt>
                <c:pt idx="77">
                  <c:v>30/06/2041</c:v>
                </c:pt>
                <c:pt idx="78">
                  <c:v>30/09/2041</c:v>
                </c:pt>
                <c:pt idx="79">
                  <c:v>30/12/2041</c:v>
                </c:pt>
                <c:pt idx="80">
                  <c:v>30/03/2042</c:v>
                </c:pt>
                <c:pt idx="81">
                  <c:v>30/06/2042</c:v>
                </c:pt>
                <c:pt idx="82">
                  <c:v>30/09/2042</c:v>
                </c:pt>
                <c:pt idx="83">
                  <c:v>30/12/2042</c:v>
                </c:pt>
                <c:pt idx="84">
                  <c:v>30/03/2043</c:v>
                </c:pt>
                <c:pt idx="85">
                  <c:v>30/06/2043</c:v>
                </c:pt>
                <c:pt idx="86">
                  <c:v>30/09/2043</c:v>
                </c:pt>
                <c:pt idx="87">
                  <c:v>30/12/2043</c:v>
                </c:pt>
                <c:pt idx="88">
                  <c:v>30/03/2044</c:v>
                </c:pt>
                <c:pt idx="89">
                  <c:v>30/06/2044</c:v>
                </c:pt>
                <c:pt idx="90">
                  <c:v>30/09/2044</c:v>
                </c:pt>
                <c:pt idx="91">
                  <c:v>30/12/2044</c:v>
                </c:pt>
                <c:pt idx="92">
                  <c:v>30/03/2045</c:v>
                </c:pt>
                <c:pt idx="93">
                  <c:v>30/06/2045</c:v>
                </c:pt>
                <c:pt idx="94">
                  <c:v>30/09/2045</c:v>
                </c:pt>
                <c:pt idx="95">
                  <c:v>30/12/2045</c:v>
                </c:pt>
                <c:pt idx="96">
                  <c:v>30/03/2046</c:v>
                </c:pt>
                <c:pt idx="97">
                  <c:v>30/06/2046</c:v>
                </c:pt>
                <c:pt idx="98">
                  <c:v>30/09/2046</c:v>
                </c:pt>
                <c:pt idx="99">
                  <c:v>30/12/2046</c:v>
                </c:pt>
                <c:pt idx="100">
                  <c:v>30/03/2047</c:v>
                </c:pt>
                <c:pt idx="101">
                  <c:v>30/06/2047</c:v>
                </c:pt>
                <c:pt idx="102">
                  <c:v>30/09/2047</c:v>
                </c:pt>
                <c:pt idx="103">
                  <c:v>30/12/2047</c:v>
                </c:pt>
                <c:pt idx="104">
                  <c:v>30/03/2048</c:v>
                </c:pt>
                <c:pt idx="105">
                  <c:v>30/06/2048</c:v>
                </c:pt>
                <c:pt idx="106">
                  <c:v>30/09/2048</c:v>
                </c:pt>
                <c:pt idx="107">
                  <c:v>30/12/2048</c:v>
                </c:pt>
                <c:pt idx="108">
                  <c:v>30/03/2049</c:v>
                </c:pt>
                <c:pt idx="109">
                  <c:v>30/06/2049</c:v>
                </c:pt>
                <c:pt idx="110">
                  <c:v>30/09/2049</c:v>
                </c:pt>
                <c:pt idx="111">
                  <c:v>30/12/2049</c:v>
                </c:pt>
                <c:pt idx="112">
                  <c:v>30/03/2050</c:v>
                </c:pt>
                <c:pt idx="113">
                  <c:v>30/06/2050</c:v>
                </c:pt>
                <c:pt idx="114">
                  <c:v>30/09/2050</c:v>
                </c:pt>
                <c:pt idx="115">
                  <c:v>31/12/2050</c:v>
                </c:pt>
              </c:strCache>
            </c:strRef>
          </c:cat>
          <c:val>
            <c:numRef>
              <c:f>YieldCurve!$P$7:$P$122</c:f>
              <c:numCache>
                <c:formatCode>0.00%</c:formatCode>
                <c:ptCount val="116"/>
                <c:pt idx="0">
                  <c:v>6.0840362229062808E-4</c:v>
                </c:pt>
                <c:pt idx="1">
                  <c:v>2.0592353578433504E-3</c:v>
                </c:pt>
                <c:pt idx="2">
                  <c:v>3.2516005826666392E-3</c:v>
                </c:pt>
                <c:pt idx="3">
                  <c:v>3.8629874277783418E-3</c:v>
                </c:pt>
                <c:pt idx="4">
                  <c:v>5.8481853883210512E-3</c:v>
                </c:pt>
                <c:pt idx="5">
                  <c:v>7.2904871088599653E-3</c:v>
                </c:pt>
                <c:pt idx="6">
                  <c:v>8.3243178242747816E-3</c:v>
                </c:pt>
                <c:pt idx="7">
                  <c:v>9.0966830884154377E-3</c:v>
                </c:pt>
                <c:pt idx="8">
                  <c:v>1.0348666890712899E-2</c:v>
                </c:pt>
                <c:pt idx="9">
                  <c:v>1.1405043503803836E-2</c:v>
                </c:pt>
                <c:pt idx="10">
                  <c:v>1.2277606042150871E-2</c:v>
                </c:pt>
                <c:pt idx="11">
                  <c:v>1.3005314756876718E-2</c:v>
                </c:pt>
                <c:pt idx="12">
                  <c:v>1.3862039579356597E-2</c:v>
                </c:pt>
                <c:pt idx="13">
                  <c:v>1.4642415001599336E-2</c:v>
                </c:pt>
                <c:pt idx="14">
                  <c:v>1.5327788571830658E-2</c:v>
                </c:pt>
                <c:pt idx="15">
                  <c:v>1.5929911505551952E-2</c:v>
                </c:pt>
                <c:pt idx="16">
                  <c:v>1.6351258421751051E-2</c:v>
                </c:pt>
                <c:pt idx="17">
                  <c:v>1.6733451029194751E-2</c:v>
                </c:pt>
                <c:pt idx="18">
                  <c:v>1.7081802722469921E-2</c:v>
                </c:pt>
                <c:pt idx="19">
                  <c:v>1.7398127454270006E-2</c:v>
                </c:pt>
                <c:pt idx="20">
                  <c:v>1.7729386724289111E-2</c:v>
                </c:pt>
                <c:pt idx="21">
                  <c:v>1.8046011472710028E-2</c:v>
                </c:pt>
                <c:pt idx="22">
                  <c:v>1.8341015513246278E-2</c:v>
                </c:pt>
                <c:pt idx="23">
                  <c:v>1.8614247082432828E-2</c:v>
                </c:pt>
                <c:pt idx="24">
                  <c:v>1.8911183073606667E-2</c:v>
                </c:pt>
                <c:pt idx="25">
                  <c:v>1.9196436621153331E-2</c:v>
                </c:pt>
                <c:pt idx="26">
                  <c:v>1.9466202860246896E-2</c:v>
                </c:pt>
                <c:pt idx="27">
                  <c:v>1.9719472850046608E-2</c:v>
                </c:pt>
                <c:pt idx="28">
                  <c:v>1.995905113712048E-2</c:v>
                </c:pt>
                <c:pt idx="29">
                  <c:v>2.0193002905408357E-2</c:v>
                </c:pt>
                <c:pt idx="30">
                  <c:v>2.0416931822884402E-2</c:v>
                </c:pt>
                <c:pt idx="31">
                  <c:v>2.0629524190566222E-2</c:v>
                </c:pt>
                <c:pt idx="32">
                  <c:v>2.0829240885078731E-2</c:v>
                </c:pt>
                <c:pt idx="33">
                  <c:v>2.1025998543667424E-2</c:v>
                </c:pt>
                <c:pt idx="34">
                  <c:v>2.1216097165387304E-2</c:v>
                </c:pt>
                <c:pt idx="35">
                  <c:v>2.1398153175254692E-2</c:v>
                </c:pt>
                <c:pt idx="36">
                  <c:v>2.1592633803597949E-2</c:v>
                </c:pt>
                <c:pt idx="37">
                  <c:v>2.1787238715643035E-2</c:v>
                </c:pt>
                <c:pt idx="38">
                  <c:v>2.1976329022184132E-2</c:v>
                </c:pt>
                <c:pt idx="39">
                  <c:v>2.2158373995191938E-2</c:v>
                </c:pt>
                <c:pt idx="40">
                  <c:v>2.2339079476191806E-2</c:v>
                </c:pt>
                <c:pt idx="41">
                  <c:v>2.2517588524379985E-2</c:v>
                </c:pt>
                <c:pt idx="42">
                  <c:v>2.2691992968936054E-2</c:v>
                </c:pt>
                <c:pt idx="43">
                  <c:v>2.2860765154206597E-2</c:v>
                </c:pt>
                <c:pt idx="44">
                  <c:v>2.3024294376399222E-2</c:v>
                </c:pt>
                <c:pt idx="45">
                  <c:v>2.318822535515808E-2</c:v>
                </c:pt>
                <c:pt idx="46">
                  <c:v>2.3349121320617183E-2</c:v>
                </c:pt>
                <c:pt idx="47">
                  <c:v>2.3505493495648497E-2</c:v>
                </c:pt>
                <c:pt idx="48">
                  <c:v>2.3656504895635703E-2</c:v>
                </c:pt>
                <c:pt idx="49">
                  <c:v>2.3808419263877723E-2</c:v>
                </c:pt>
                <c:pt idx="50">
                  <c:v>2.39580871488707E-2</c:v>
                </c:pt>
                <c:pt idx="51">
                  <c:v>2.4104068264752657E-2</c:v>
                </c:pt>
                <c:pt idx="52">
                  <c:v>2.4246564988695263E-2</c:v>
                </c:pt>
                <c:pt idx="53">
                  <c:v>2.4390424163053186E-2</c:v>
                </c:pt>
                <c:pt idx="54">
                  <c:v>2.4532580370354121E-2</c:v>
                </c:pt>
                <c:pt idx="55">
                  <c:v>2.4671627166033723E-2</c:v>
                </c:pt>
                <c:pt idx="56">
                  <c:v>2.4809220713536889E-2</c:v>
                </c:pt>
                <c:pt idx="57">
                  <c:v>2.4946946048048448E-2</c:v>
                </c:pt>
                <c:pt idx="58">
                  <c:v>2.5083375026751221E-2</c:v>
                </c:pt>
                <c:pt idx="59">
                  <c:v>2.5217129829058327E-2</c:v>
                </c:pt>
                <c:pt idx="60">
                  <c:v>2.5309434513327175E-2</c:v>
                </c:pt>
                <c:pt idx="61">
                  <c:v>2.5400759815069278E-2</c:v>
                </c:pt>
                <c:pt idx="62">
                  <c:v>2.5491945831420938E-2</c:v>
                </c:pt>
                <c:pt idx="63">
                  <c:v>2.5582025219561454E-2</c:v>
                </c:pt>
                <c:pt idx="64">
                  <c:v>2.5671021482724012E-2</c:v>
                </c:pt>
                <c:pt idx="65">
                  <c:v>2.5761918721260199E-2</c:v>
                </c:pt>
                <c:pt idx="66">
                  <c:v>2.5852756723838952E-2</c:v>
                </c:pt>
                <c:pt idx="67">
                  <c:v>2.5942566194456188E-2</c:v>
                </c:pt>
                <c:pt idx="68">
                  <c:v>2.6031364213829528E-2</c:v>
                </c:pt>
                <c:pt idx="69">
                  <c:v>2.6122125629756375E-2</c:v>
                </c:pt>
                <c:pt idx="70">
                  <c:v>2.6212891798215468E-2</c:v>
                </c:pt>
                <c:pt idx="71">
                  <c:v>2.6302689889424524E-2</c:v>
                </c:pt>
                <c:pt idx="72">
                  <c:v>2.6392519425280422E-2</c:v>
                </c:pt>
                <c:pt idx="73">
                  <c:v>2.6483380673207598E-2</c:v>
                </c:pt>
                <c:pt idx="74">
                  <c:v>2.6574298861005596E-2</c:v>
                </c:pt>
                <c:pt idx="75">
                  <c:v>2.6664296194164796E-2</c:v>
                </c:pt>
                <c:pt idx="76">
                  <c:v>2.6753381005426326E-2</c:v>
                </c:pt>
                <c:pt idx="77">
                  <c:v>2.684453442454927E-2</c:v>
                </c:pt>
                <c:pt idx="78">
                  <c:v>2.6935787816317239E-2</c:v>
                </c:pt>
                <c:pt idx="79">
                  <c:v>2.7026157171986937E-2</c:v>
                </c:pt>
                <c:pt idx="80">
                  <c:v>2.7057134508325496E-2</c:v>
                </c:pt>
                <c:pt idx="81">
                  <c:v>2.7084764768195282E-2</c:v>
                </c:pt>
                <c:pt idx="82">
                  <c:v>2.7113421688112774E-2</c:v>
                </c:pt>
                <c:pt idx="83">
                  <c:v>2.7142748729675283E-2</c:v>
                </c:pt>
                <c:pt idx="84">
                  <c:v>2.7172687489182622E-2</c:v>
                </c:pt>
                <c:pt idx="85">
                  <c:v>2.7204225916651403E-2</c:v>
                </c:pt>
                <c:pt idx="86">
                  <c:v>2.7236684168987762E-2</c:v>
                </c:pt>
                <c:pt idx="87">
                  <c:v>2.7269671153779224E-2</c:v>
                </c:pt>
                <c:pt idx="88">
                  <c:v>2.7303512807842035E-2</c:v>
                </c:pt>
                <c:pt idx="89">
                  <c:v>2.7338573773451627E-2</c:v>
                </c:pt>
                <c:pt idx="90">
                  <c:v>2.7374466202579797E-2</c:v>
                </c:pt>
                <c:pt idx="91">
                  <c:v>2.7410767112642915E-2</c:v>
                </c:pt>
                <c:pt idx="92">
                  <c:v>2.7447432379786859E-2</c:v>
                </c:pt>
                <c:pt idx="93">
                  <c:v>2.7485679350111931E-2</c:v>
                </c:pt>
                <c:pt idx="94">
                  <c:v>2.7524684575039579E-2</c:v>
                </c:pt>
                <c:pt idx="95">
                  <c:v>2.7563995627425484E-2</c:v>
                </c:pt>
                <c:pt idx="96">
                  <c:v>2.7603573585918941E-2</c:v>
                </c:pt>
                <c:pt idx="97">
                  <c:v>2.764473467947736E-2</c:v>
                </c:pt>
                <c:pt idx="98">
                  <c:v>2.76865928028199E-2</c:v>
                </c:pt>
                <c:pt idx="99">
                  <c:v>2.7728668105982714E-2</c:v>
                </c:pt>
                <c:pt idx="100">
                  <c:v>2.7728464987967751E-2</c:v>
                </c:pt>
                <c:pt idx="101">
                  <c:v>2.7726840466582393E-2</c:v>
                </c:pt>
                <c:pt idx="102">
                  <c:v>2.7726349517077878E-2</c:v>
                </c:pt>
                <c:pt idx="103">
                  <c:v>2.7726951133012004E-2</c:v>
                </c:pt>
                <c:pt idx="104">
                  <c:v>2.7728607436825661E-2</c:v>
                </c:pt>
                <c:pt idx="105">
                  <c:v>2.7731328078444757E-2</c:v>
                </c:pt>
                <c:pt idx="106">
                  <c:v>2.7735075336556912E-2</c:v>
                </c:pt>
                <c:pt idx="107">
                  <c:v>2.7739767914419712E-2</c:v>
                </c:pt>
                <c:pt idx="108">
                  <c:v>2.7745351152691274E-2</c:v>
                </c:pt>
                <c:pt idx="109">
                  <c:v>2.7752004848947239E-2</c:v>
                </c:pt>
                <c:pt idx="110">
                  <c:v>2.7759593730295424E-2</c:v>
                </c:pt>
                <c:pt idx="111">
                  <c:v>2.7767999567299886E-2</c:v>
                </c:pt>
                <c:pt idx="112">
                  <c:v>2.777717363727597E-2</c:v>
                </c:pt>
                <c:pt idx="113">
                  <c:v>2.7787417106466296E-2</c:v>
                </c:pt>
                <c:pt idx="114">
                  <c:v>2.7798516968356519E-2</c:v>
                </c:pt>
                <c:pt idx="115">
                  <c:v>2.7810455103306458E-2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F6-498A-861E-7EA832C3EBD8}"/>
            </c:ext>
          </c:extLst>
        </c:ser>
        <c:ser>
          <c:idx val="2"/>
          <c:order val="2"/>
          <c:tx>
            <c:strRef>
              <c:f>YieldCurve!$Q$6</c:f>
              <c:strCache>
                <c:ptCount val="1"/>
                <c:pt idx="0">
                  <c:v>AUDSwap3m.ZeroRates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YieldCurve!$N$7:$N$122</c:f>
              <c:strCache>
                <c:ptCount val="116"/>
                <c:pt idx="0">
                  <c:v>30/03/2022</c:v>
                </c:pt>
                <c:pt idx="1">
                  <c:v>30/06/2022</c:v>
                </c:pt>
                <c:pt idx="2">
                  <c:v>30/09/2022</c:v>
                </c:pt>
                <c:pt idx="3">
                  <c:v>30/12/2022</c:v>
                </c:pt>
                <c:pt idx="4">
                  <c:v>30/03/2023</c:v>
                </c:pt>
                <c:pt idx="5">
                  <c:v>30/06/2023</c:v>
                </c:pt>
                <c:pt idx="6">
                  <c:v>30/09/2023</c:v>
                </c:pt>
                <c:pt idx="7">
                  <c:v>30/12/2023</c:v>
                </c:pt>
                <c:pt idx="8">
                  <c:v>30/03/2024</c:v>
                </c:pt>
                <c:pt idx="9">
                  <c:v>30/06/2024</c:v>
                </c:pt>
                <c:pt idx="10">
                  <c:v>30/09/2024</c:v>
                </c:pt>
                <c:pt idx="11">
                  <c:v>30/12/2024</c:v>
                </c:pt>
                <c:pt idx="12">
                  <c:v>30/03/2025</c:v>
                </c:pt>
                <c:pt idx="13">
                  <c:v>30/06/2025</c:v>
                </c:pt>
                <c:pt idx="14">
                  <c:v>30/09/2025</c:v>
                </c:pt>
                <c:pt idx="15">
                  <c:v>30/12/2025</c:v>
                </c:pt>
                <c:pt idx="16">
                  <c:v>30/03/2026</c:v>
                </c:pt>
                <c:pt idx="17">
                  <c:v>30/06/2026</c:v>
                </c:pt>
                <c:pt idx="18">
                  <c:v>30/09/2026</c:v>
                </c:pt>
                <c:pt idx="19">
                  <c:v>30/12/2026</c:v>
                </c:pt>
                <c:pt idx="20">
                  <c:v>30/03/2027</c:v>
                </c:pt>
                <c:pt idx="21">
                  <c:v>30/06/2027</c:v>
                </c:pt>
                <c:pt idx="22">
                  <c:v>30/09/2027</c:v>
                </c:pt>
                <c:pt idx="23">
                  <c:v>30/12/2027</c:v>
                </c:pt>
                <c:pt idx="24">
                  <c:v>30/03/2028</c:v>
                </c:pt>
                <c:pt idx="25">
                  <c:v>30/06/2028</c:v>
                </c:pt>
                <c:pt idx="26">
                  <c:v>30/09/2028</c:v>
                </c:pt>
                <c:pt idx="27">
                  <c:v>30/12/2028</c:v>
                </c:pt>
                <c:pt idx="28">
                  <c:v>30/03/2029</c:v>
                </c:pt>
                <c:pt idx="29">
                  <c:v>30/06/2029</c:v>
                </c:pt>
                <c:pt idx="30">
                  <c:v>30/09/2029</c:v>
                </c:pt>
                <c:pt idx="31">
                  <c:v>30/12/2029</c:v>
                </c:pt>
                <c:pt idx="32">
                  <c:v>30/03/2030</c:v>
                </c:pt>
                <c:pt idx="33">
                  <c:v>30/06/2030</c:v>
                </c:pt>
                <c:pt idx="34">
                  <c:v>30/09/2030</c:v>
                </c:pt>
                <c:pt idx="35">
                  <c:v>30/12/2030</c:v>
                </c:pt>
                <c:pt idx="36">
                  <c:v>30/03/2031</c:v>
                </c:pt>
                <c:pt idx="37">
                  <c:v>30/06/2031</c:v>
                </c:pt>
                <c:pt idx="38">
                  <c:v>30/09/2031</c:v>
                </c:pt>
                <c:pt idx="39">
                  <c:v>30/12/2031</c:v>
                </c:pt>
                <c:pt idx="40">
                  <c:v>30/03/2032</c:v>
                </c:pt>
                <c:pt idx="41">
                  <c:v>30/06/2032</c:v>
                </c:pt>
                <c:pt idx="42">
                  <c:v>30/09/2032</c:v>
                </c:pt>
                <c:pt idx="43">
                  <c:v>30/12/2032</c:v>
                </c:pt>
                <c:pt idx="44">
                  <c:v>30/03/2033</c:v>
                </c:pt>
                <c:pt idx="45">
                  <c:v>30/06/2033</c:v>
                </c:pt>
                <c:pt idx="46">
                  <c:v>30/09/2033</c:v>
                </c:pt>
                <c:pt idx="47">
                  <c:v>30/12/2033</c:v>
                </c:pt>
                <c:pt idx="48">
                  <c:v>30/03/2034</c:v>
                </c:pt>
                <c:pt idx="49">
                  <c:v>30/06/2034</c:v>
                </c:pt>
                <c:pt idx="50">
                  <c:v>30/09/2034</c:v>
                </c:pt>
                <c:pt idx="51">
                  <c:v>30/12/2034</c:v>
                </c:pt>
                <c:pt idx="52">
                  <c:v>30/03/2035</c:v>
                </c:pt>
                <c:pt idx="53">
                  <c:v>30/06/2035</c:v>
                </c:pt>
                <c:pt idx="54">
                  <c:v>30/09/2035</c:v>
                </c:pt>
                <c:pt idx="55">
                  <c:v>30/12/2035</c:v>
                </c:pt>
                <c:pt idx="56">
                  <c:v>30/03/2036</c:v>
                </c:pt>
                <c:pt idx="57">
                  <c:v>30/06/2036</c:v>
                </c:pt>
                <c:pt idx="58">
                  <c:v>30/09/2036</c:v>
                </c:pt>
                <c:pt idx="59">
                  <c:v>30/12/2036</c:v>
                </c:pt>
                <c:pt idx="60">
                  <c:v>30/03/2037</c:v>
                </c:pt>
                <c:pt idx="61">
                  <c:v>30/06/2037</c:v>
                </c:pt>
                <c:pt idx="62">
                  <c:v>30/09/2037</c:v>
                </c:pt>
                <c:pt idx="63">
                  <c:v>30/12/2037</c:v>
                </c:pt>
                <c:pt idx="64">
                  <c:v>30/03/2038</c:v>
                </c:pt>
                <c:pt idx="65">
                  <c:v>30/06/2038</c:v>
                </c:pt>
                <c:pt idx="66">
                  <c:v>30/09/2038</c:v>
                </c:pt>
                <c:pt idx="67">
                  <c:v>30/12/2038</c:v>
                </c:pt>
                <c:pt idx="68">
                  <c:v>30/03/2039</c:v>
                </c:pt>
                <c:pt idx="69">
                  <c:v>30/06/2039</c:v>
                </c:pt>
                <c:pt idx="70">
                  <c:v>30/09/2039</c:v>
                </c:pt>
                <c:pt idx="71">
                  <c:v>30/12/2039</c:v>
                </c:pt>
                <c:pt idx="72">
                  <c:v>30/03/2040</c:v>
                </c:pt>
                <c:pt idx="73">
                  <c:v>30/06/2040</c:v>
                </c:pt>
                <c:pt idx="74">
                  <c:v>30/09/2040</c:v>
                </c:pt>
                <c:pt idx="75">
                  <c:v>30/12/2040</c:v>
                </c:pt>
                <c:pt idx="76">
                  <c:v>30/03/2041</c:v>
                </c:pt>
                <c:pt idx="77">
                  <c:v>30/06/2041</c:v>
                </c:pt>
                <c:pt idx="78">
                  <c:v>30/09/2041</c:v>
                </c:pt>
                <c:pt idx="79">
                  <c:v>30/12/2041</c:v>
                </c:pt>
                <c:pt idx="80">
                  <c:v>30/03/2042</c:v>
                </c:pt>
                <c:pt idx="81">
                  <c:v>30/06/2042</c:v>
                </c:pt>
                <c:pt idx="82">
                  <c:v>30/09/2042</c:v>
                </c:pt>
                <c:pt idx="83">
                  <c:v>30/12/2042</c:v>
                </c:pt>
                <c:pt idx="84">
                  <c:v>30/03/2043</c:v>
                </c:pt>
                <c:pt idx="85">
                  <c:v>30/06/2043</c:v>
                </c:pt>
                <c:pt idx="86">
                  <c:v>30/09/2043</c:v>
                </c:pt>
                <c:pt idx="87">
                  <c:v>30/12/2043</c:v>
                </c:pt>
                <c:pt idx="88">
                  <c:v>30/03/2044</c:v>
                </c:pt>
                <c:pt idx="89">
                  <c:v>30/06/2044</c:v>
                </c:pt>
                <c:pt idx="90">
                  <c:v>30/09/2044</c:v>
                </c:pt>
                <c:pt idx="91">
                  <c:v>30/12/2044</c:v>
                </c:pt>
                <c:pt idx="92">
                  <c:v>30/03/2045</c:v>
                </c:pt>
                <c:pt idx="93">
                  <c:v>30/06/2045</c:v>
                </c:pt>
                <c:pt idx="94">
                  <c:v>30/09/2045</c:v>
                </c:pt>
                <c:pt idx="95">
                  <c:v>30/12/2045</c:v>
                </c:pt>
                <c:pt idx="96">
                  <c:v>30/03/2046</c:v>
                </c:pt>
                <c:pt idx="97">
                  <c:v>30/06/2046</c:v>
                </c:pt>
                <c:pt idx="98">
                  <c:v>30/09/2046</c:v>
                </c:pt>
                <c:pt idx="99">
                  <c:v>30/12/2046</c:v>
                </c:pt>
                <c:pt idx="100">
                  <c:v>30/03/2047</c:v>
                </c:pt>
                <c:pt idx="101">
                  <c:v>30/06/2047</c:v>
                </c:pt>
                <c:pt idx="102">
                  <c:v>30/09/2047</c:v>
                </c:pt>
                <c:pt idx="103">
                  <c:v>30/12/2047</c:v>
                </c:pt>
                <c:pt idx="104">
                  <c:v>30/03/2048</c:v>
                </c:pt>
                <c:pt idx="105">
                  <c:v>30/06/2048</c:v>
                </c:pt>
                <c:pt idx="106">
                  <c:v>30/09/2048</c:v>
                </c:pt>
                <c:pt idx="107">
                  <c:v>30/12/2048</c:v>
                </c:pt>
                <c:pt idx="108">
                  <c:v>30/03/2049</c:v>
                </c:pt>
                <c:pt idx="109">
                  <c:v>30/06/2049</c:v>
                </c:pt>
                <c:pt idx="110">
                  <c:v>30/09/2049</c:v>
                </c:pt>
                <c:pt idx="111">
                  <c:v>30/12/2049</c:v>
                </c:pt>
                <c:pt idx="112">
                  <c:v>30/03/2050</c:v>
                </c:pt>
                <c:pt idx="113">
                  <c:v>30/06/2050</c:v>
                </c:pt>
                <c:pt idx="114">
                  <c:v>30/09/2050</c:v>
                </c:pt>
                <c:pt idx="115">
                  <c:v>31/12/2050</c:v>
                </c:pt>
              </c:strCache>
            </c:strRef>
          </c:cat>
          <c:val>
            <c:numRef>
              <c:f>YieldCurve!$Q$7:$Q$122</c:f>
              <c:numCache>
                <c:formatCode>0.00%</c:formatCode>
                <c:ptCount val="116"/>
                <c:pt idx="0">
                  <c:v>6.0840362229062808E-4</c:v>
                </c:pt>
                <c:pt idx="1">
                  <c:v>1.3302731488062077E-3</c:v>
                </c:pt>
                <c:pt idx="2">
                  <c:v>3.2517250419449766E-3</c:v>
                </c:pt>
                <c:pt idx="3">
                  <c:v>3.8631775679381615E-3</c:v>
                </c:pt>
                <c:pt idx="4">
                  <c:v>5.8483426281087667E-3</c:v>
                </c:pt>
                <c:pt idx="5">
                  <c:v>7.2906183255561736E-3</c:v>
                </c:pt>
                <c:pt idx="6">
                  <c:v>8.324430524427235E-3</c:v>
                </c:pt>
                <c:pt idx="7">
                  <c:v>9.0967820722101904E-3</c:v>
                </c:pt>
                <c:pt idx="8">
                  <c:v>1.0348734318104961E-2</c:v>
                </c:pt>
                <c:pt idx="9">
                  <c:v>1.1405084127372128E-2</c:v>
                </c:pt>
                <c:pt idx="10">
                  <c:v>1.2277624586335124E-2</c:v>
                </c:pt>
                <c:pt idx="11">
                  <c:v>1.3005314940830237E-2</c:v>
                </c:pt>
                <c:pt idx="12">
                  <c:v>1.3656174912238112E-2</c:v>
                </c:pt>
                <c:pt idx="13">
                  <c:v>1.4237379421605559E-2</c:v>
                </c:pt>
                <c:pt idx="14">
                  <c:v>1.4748121542156359E-2</c:v>
                </c:pt>
                <c:pt idx="15">
                  <c:v>1.5197087711777302E-2</c:v>
                </c:pt>
                <c:pt idx="16">
                  <c:v>1.5606365955894541E-2</c:v>
                </c:pt>
                <c:pt idx="17">
                  <c:v>1.598561276487688E-2</c:v>
                </c:pt>
                <c:pt idx="18">
                  <c:v>1.6330895608279519E-2</c:v>
                </c:pt>
                <c:pt idx="19">
                  <c:v>1.6644078812232222E-2</c:v>
                </c:pt>
                <c:pt idx="20">
                  <c:v>1.6979557892090189E-2</c:v>
                </c:pt>
                <c:pt idx="21">
                  <c:v>1.7300216684732243E-2</c:v>
                </c:pt>
                <c:pt idx="22">
                  <c:v>1.7598596947453093E-2</c:v>
                </c:pt>
                <c:pt idx="23">
                  <c:v>1.7874599816370518E-2</c:v>
                </c:pt>
                <c:pt idx="24">
                  <c:v>1.8171993011422777E-2</c:v>
                </c:pt>
                <c:pt idx="25">
                  <c:v>1.8457265018551255E-2</c:v>
                </c:pt>
                <c:pt idx="26">
                  <c:v>1.8726749164446957E-2</c:v>
                </c:pt>
                <c:pt idx="27">
                  <c:v>1.8979473851181542E-2</c:v>
                </c:pt>
                <c:pt idx="28">
                  <c:v>1.9215348401586608E-2</c:v>
                </c:pt>
                <c:pt idx="29">
                  <c:v>1.9445288061690769E-2</c:v>
                </c:pt>
                <c:pt idx="30">
                  <c:v>1.9665161400305792E-2</c:v>
                </c:pt>
                <c:pt idx="31">
                  <c:v>1.9873701064420803E-2</c:v>
                </c:pt>
                <c:pt idx="32">
                  <c:v>2.0073368143047582E-2</c:v>
                </c:pt>
                <c:pt idx="33">
                  <c:v>2.0270077139878086E-2</c:v>
                </c:pt>
                <c:pt idx="34">
                  <c:v>2.0459899365810993E-2</c:v>
                </c:pt>
                <c:pt idx="35">
                  <c:v>2.0641474841242013E-2</c:v>
                </c:pt>
                <c:pt idx="36">
                  <c:v>2.0840065090883923E-2</c:v>
                </c:pt>
                <c:pt idx="37">
                  <c:v>2.1038888752830734E-2</c:v>
                </c:pt>
                <c:pt idx="38">
                  <c:v>2.1231820664968266E-2</c:v>
                </c:pt>
                <c:pt idx="39">
                  <c:v>2.1417321114097245E-2</c:v>
                </c:pt>
                <c:pt idx="40">
                  <c:v>2.1591882055614874E-2</c:v>
                </c:pt>
                <c:pt idx="41">
                  <c:v>2.1763565091461053E-2</c:v>
                </c:pt>
                <c:pt idx="42">
                  <c:v>2.1931198177831495E-2</c:v>
                </c:pt>
                <c:pt idx="43">
                  <c:v>2.2093320471813671E-2</c:v>
                </c:pt>
                <c:pt idx="44">
                  <c:v>2.225031446254648E-2</c:v>
                </c:pt>
                <c:pt idx="45">
                  <c:v>2.2407602793089437E-2</c:v>
                </c:pt>
                <c:pt idx="46">
                  <c:v>2.256188974054223E-2</c:v>
                </c:pt>
                <c:pt idx="47">
                  <c:v>2.2711753642539183E-2</c:v>
                </c:pt>
                <c:pt idx="48">
                  <c:v>2.285287614995159E-2</c:v>
                </c:pt>
                <c:pt idx="49">
                  <c:v>2.2994598947085998E-2</c:v>
                </c:pt>
                <c:pt idx="50">
                  <c:v>2.3134195786981313E-2</c:v>
                </c:pt>
                <c:pt idx="51">
                  <c:v>2.3270324666350577E-2</c:v>
                </c:pt>
                <c:pt idx="52">
                  <c:v>2.3403176075532047E-2</c:v>
                </c:pt>
                <c:pt idx="53">
                  <c:v>2.3537269080575986E-2</c:v>
                </c:pt>
                <c:pt idx="54">
                  <c:v>2.3669746162437753E-2</c:v>
                </c:pt>
                <c:pt idx="55">
                  <c:v>2.3799297804811548E-2</c:v>
                </c:pt>
                <c:pt idx="56">
                  <c:v>2.3927468191039473E-2</c:v>
                </c:pt>
                <c:pt idx="57">
                  <c:v>2.4055733977735024E-2</c:v>
                </c:pt>
                <c:pt idx="58">
                  <c:v>2.4182765262363175E-2</c:v>
                </c:pt>
                <c:pt idx="59">
                  <c:v>2.4307280139027158E-2</c:v>
                </c:pt>
                <c:pt idx="60">
                  <c:v>2.438962930308913E-2</c:v>
                </c:pt>
                <c:pt idx="61">
                  <c:v>2.4470797960184126E-2</c:v>
                </c:pt>
                <c:pt idx="62">
                  <c:v>2.4551906953207518E-2</c:v>
                </c:pt>
                <c:pt idx="63">
                  <c:v>2.4632091607370756E-2</c:v>
                </c:pt>
                <c:pt idx="64">
                  <c:v>2.471136795011954E-2</c:v>
                </c:pt>
                <c:pt idx="65">
                  <c:v>2.4792392263520049E-2</c:v>
                </c:pt>
                <c:pt idx="66">
                  <c:v>2.4873416311117655E-2</c:v>
                </c:pt>
                <c:pt idx="67">
                  <c:v>2.4953572117229633E-2</c:v>
                </c:pt>
                <c:pt idx="68">
                  <c:v>2.5032870971472495E-2</c:v>
                </c:pt>
                <c:pt idx="69">
                  <c:v>2.5113967972688191E-2</c:v>
                </c:pt>
                <c:pt idx="70">
                  <c:v>2.5195112305322023E-2</c:v>
                </c:pt>
                <c:pt idx="71">
                  <c:v>2.5275431506901529E-2</c:v>
                </c:pt>
                <c:pt idx="72">
                  <c:v>2.5355816989905314E-2</c:v>
                </c:pt>
                <c:pt idx="73">
                  <c:v>2.5437162617860481E-2</c:v>
                </c:pt>
                <c:pt idx="74">
                  <c:v>2.5518594506762367E-2</c:v>
                </c:pt>
                <c:pt idx="75">
                  <c:v>2.5599234625902991E-2</c:v>
                </c:pt>
                <c:pt idx="76">
                  <c:v>2.5679087800687572E-2</c:v>
                </c:pt>
                <c:pt idx="77">
                  <c:v>2.5760825219028848E-2</c:v>
                </c:pt>
                <c:pt idx="78">
                  <c:v>2.5842681102885342E-2</c:v>
                </c:pt>
                <c:pt idx="79">
                  <c:v>2.5923770915446984E-2</c:v>
                </c:pt>
                <c:pt idx="80">
                  <c:v>2.5944266871928037E-2</c:v>
                </c:pt>
                <c:pt idx="81">
                  <c:v>2.5961130804106447E-2</c:v>
                </c:pt>
                <c:pt idx="82">
                  <c:v>2.5979082006205956E-2</c:v>
                </c:pt>
                <c:pt idx="83">
                  <c:v>2.5997875881485416E-2</c:v>
                </c:pt>
                <c:pt idx="84">
                  <c:v>2.6017448992997433E-2</c:v>
                </c:pt>
                <c:pt idx="85">
                  <c:v>2.603844150150298E-2</c:v>
                </c:pt>
                <c:pt idx="86">
                  <c:v>2.6060401419066376E-2</c:v>
                </c:pt>
                <c:pt idx="87">
                  <c:v>2.6083048117114118E-2</c:v>
                </c:pt>
                <c:pt idx="88">
                  <c:v>2.6106590451511241E-2</c:v>
                </c:pt>
                <c:pt idx="89">
                  <c:v>2.6131277905223488E-2</c:v>
                </c:pt>
                <c:pt idx="90">
                  <c:v>2.6156833451110396E-2</c:v>
                </c:pt>
                <c:pt idx="91">
                  <c:v>2.618294344201141E-2</c:v>
                </c:pt>
                <c:pt idx="92">
                  <c:v>2.6209560389551419E-2</c:v>
                </c:pt>
                <c:pt idx="93">
                  <c:v>2.6237564974688037E-2</c:v>
                </c:pt>
                <c:pt idx="94">
                  <c:v>2.6266355187023874E-2</c:v>
                </c:pt>
                <c:pt idx="95">
                  <c:v>2.629558711833092E-2</c:v>
                </c:pt>
                <c:pt idx="96">
                  <c:v>2.6325219098655171E-2</c:v>
                </c:pt>
                <c:pt idx="97">
                  <c:v>2.6356234285876717E-2</c:v>
                </c:pt>
                <c:pt idx="98">
                  <c:v>2.6387965957662223E-2</c:v>
                </c:pt>
                <c:pt idx="99">
                  <c:v>2.6420042237879301E-2</c:v>
                </c:pt>
                <c:pt idx="100">
                  <c:v>2.640731068550687E-2</c:v>
                </c:pt>
                <c:pt idx="101">
                  <c:v>2.6392790826601197E-2</c:v>
                </c:pt>
                <c:pt idx="102">
                  <c:v>2.6379474944949285E-2</c:v>
                </c:pt>
                <c:pt idx="103">
                  <c:v>2.636745728269849E-2</c:v>
                </c:pt>
                <c:pt idx="104">
                  <c:v>2.6356557325859616E-2</c:v>
                </c:pt>
                <c:pt idx="105">
                  <c:v>2.6346644970889753E-2</c:v>
                </c:pt>
                <c:pt idx="106">
                  <c:v>2.633781807248679E-2</c:v>
                </c:pt>
                <c:pt idx="107">
                  <c:v>2.6330128453621725E-2</c:v>
                </c:pt>
                <c:pt idx="108">
                  <c:v>2.6323517205277744E-2</c:v>
                </c:pt>
                <c:pt idx="109">
                  <c:v>2.6317756088692135E-2</c:v>
                </c:pt>
                <c:pt idx="110">
                  <c:v>2.6312979005242858E-2</c:v>
                </c:pt>
                <c:pt idx="111">
                  <c:v>2.6309199082204377E-2</c:v>
                </c:pt>
                <c:pt idx="112">
                  <c:v>2.6306363971501871E-2</c:v>
                </c:pt>
                <c:pt idx="113">
                  <c:v>2.6304373136940212E-2</c:v>
                </c:pt>
                <c:pt idx="114">
                  <c:v>2.6303278828479413E-2</c:v>
                </c:pt>
                <c:pt idx="115">
                  <c:v>2.630306090558036E-2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F6-498A-861E-7EA832C3EBD8}"/>
            </c:ext>
          </c:extLst>
        </c:ser>
        <c:ser>
          <c:idx val="3"/>
          <c:order val="3"/>
          <c:tx>
            <c:strRef>
              <c:f>YieldCurve!$R$6</c:f>
              <c:strCache>
                <c:ptCount val="1"/>
                <c:pt idx="0">
                  <c:v>AUDIaaCurve.ZeroRates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YieldCurve!$R$7:$R$122</c:f>
              <c:numCache>
                <c:formatCode>0.00%</c:formatCode>
                <c:ptCount val="116"/>
                <c:pt idx="0">
                  <c:v>8.811691120177708E-3</c:v>
                </c:pt>
                <c:pt idx="1">
                  <c:v>8.9616133509066703E-3</c:v>
                </c:pt>
                <c:pt idx="2">
                  <c:v>9.9211635355254558E-3</c:v>
                </c:pt>
                <c:pt idx="3">
                  <c:v>1.0695237123385274E-2</c:v>
                </c:pt>
                <c:pt idx="4">
                  <c:v>1.1303698180520452E-2</c:v>
                </c:pt>
                <c:pt idx="5">
                  <c:v>1.2144618910257534E-2</c:v>
                </c:pt>
                <c:pt idx="6">
                  <c:v>1.2926198394582597E-2</c:v>
                </c:pt>
                <c:pt idx="7">
                  <c:v>1.351473138149837E-2</c:v>
                </c:pt>
                <c:pt idx="8">
                  <c:v>1.4074072830055141E-2</c:v>
                </c:pt>
                <c:pt idx="9">
                  <c:v>1.5352005358984427E-2</c:v>
                </c:pt>
                <c:pt idx="10">
                  <c:v>1.6782325972158681E-2</c:v>
                </c:pt>
                <c:pt idx="11">
                  <c:v>1.8079362405794663E-2</c:v>
                </c:pt>
                <c:pt idx="12">
                  <c:v>1.9306412883241666E-2</c:v>
                </c:pt>
                <c:pt idx="13">
                  <c:v>2.0122050324042892E-2</c:v>
                </c:pt>
                <c:pt idx="14">
                  <c:v>2.0715311933561388E-2</c:v>
                </c:pt>
                <c:pt idx="15">
                  <c:v>2.1231570620820317E-2</c:v>
                </c:pt>
                <c:pt idx="16">
                  <c:v>2.1674569685554645E-2</c:v>
                </c:pt>
                <c:pt idx="17">
                  <c:v>2.2043767660721462E-2</c:v>
                </c:pt>
                <c:pt idx="18">
                  <c:v>2.2371586140808593E-2</c:v>
                </c:pt>
                <c:pt idx="19">
                  <c:v>2.2744919210279279E-2</c:v>
                </c:pt>
                <c:pt idx="20">
                  <c:v>2.3089080441328812E-2</c:v>
                </c:pt>
                <c:pt idx="21">
                  <c:v>2.3422136722021984E-2</c:v>
                </c:pt>
                <c:pt idx="22">
                  <c:v>2.3740167852799105E-2</c:v>
                </c:pt>
                <c:pt idx="23">
                  <c:v>2.4072338384892828E-2</c:v>
                </c:pt>
                <c:pt idx="24">
                  <c:v>2.4443268873419847E-2</c:v>
                </c:pt>
                <c:pt idx="25">
                  <c:v>2.4798366327285236E-2</c:v>
                </c:pt>
                <c:pt idx="26">
                  <c:v>2.5134207819738085E-2</c:v>
                </c:pt>
                <c:pt idx="27">
                  <c:v>2.543734862310771E-2</c:v>
                </c:pt>
                <c:pt idx="28">
                  <c:v>2.5705228295139684E-2</c:v>
                </c:pt>
                <c:pt idx="29">
                  <c:v>2.5995901518321457E-2</c:v>
                </c:pt>
                <c:pt idx="30">
                  <c:v>2.6287698704804834E-2</c:v>
                </c:pt>
                <c:pt idx="31">
                  <c:v>2.6556184300579096E-2</c:v>
                </c:pt>
                <c:pt idx="32">
                  <c:v>2.6795167320457693E-2</c:v>
                </c:pt>
                <c:pt idx="33">
                  <c:v>2.7011155279366424E-2</c:v>
                </c:pt>
                <c:pt idx="34">
                  <c:v>2.7187891630996906E-2</c:v>
                </c:pt>
                <c:pt idx="35">
                  <c:v>2.7362505223532872E-2</c:v>
                </c:pt>
                <c:pt idx="36">
                  <c:v>2.7561196503016954E-2</c:v>
                </c:pt>
                <c:pt idx="37">
                  <c:v>2.7753756545271808E-2</c:v>
                </c:pt>
                <c:pt idx="38">
                  <c:v>2.7888584093522423E-2</c:v>
                </c:pt>
                <c:pt idx="39">
                  <c:v>2.8051378312868341E-2</c:v>
                </c:pt>
                <c:pt idx="40">
                  <c:v>2.8265132132499076E-2</c:v>
                </c:pt>
                <c:pt idx="41">
                  <c:v>2.8511246151793155E-2</c:v>
                </c:pt>
                <c:pt idx="42">
                  <c:v>2.8806892053343736E-2</c:v>
                </c:pt>
                <c:pt idx="43">
                  <c:v>2.9093411972754904E-2</c:v>
                </c:pt>
                <c:pt idx="44">
                  <c:v>2.9380205765890177E-2</c:v>
                </c:pt>
                <c:pt idx="45">
                  <c:v>2.9751979664737575E-2</c:v>
                </c:pt>
                <c:pt idx="46">
                  <c:v>3.0156582440495985E-2</c:v>
                </c:pt>
                <c:pt idx="47">
                  <c:v>3.0549263040137924E-2</c:v>
                </c:pt>
                <c:pt idx="48">
                  <c:v>3.0930791785460411E-2</c:v>
                </c:pt>
                <c:pt idx="49">
                  <c:v>3.1314224196408807E-2</c:v>
                </c:pt>
                <c:pt idx="50">
                  <c:v>3.1691517823046904E-2</c:v>
                </c:pt>
                <c:pt idx="51">
                  <c:v>3.2059117467439523E-2</c:v>
                </c:pt>
                <c:pt idx="52">
                  <c:v>3.2417586508587906E-2</c:v>
                </c:pt>
                <c:pt idx="53">
                  <c:v>3.2796082307405577E-2</c:v>
                </c:pt>
                <c:pt idx="54">
                  <c:v>3.3324895375815101E-2</c:v>
                </c:pt>
                <c:pt idx="55">
                  <c:v>3.3841012321357278E-2</c:v>
                </c:pt>
                <c:pt idx="56">
                  <c:v>3.4350684778986409E-2</c:v>
                </c:pt>
                <c:pt idx="57">
                  <c:v>3.4859852374530841E-2</c:v>
                </c:pt>
                <c:pt idx="58">
                  <c:v>3.5363339811191746E-2</c:v>
                </c:pt>
                <c:pt idx="59">
                  <c:v>3.5856188085551625E-2</c:v>
                </c:pt>
                <c:pt idx="60">
                  <c:v>3.6338420876451907E-2</c:v>
                </c:pt>
                <c:pt idx="61">
                  <c:v>3.6821971215839529E-2</c:v>
                </c:pt>
                <c:pt idx="62">
                  <c:v>3.7299040785668411E-2</c:v>
                </c:pt>
                <c:pt idx="63">
                  <c:v>3.7767205414874251E-2</c:v>
                </c:pt>
                <c:pt idx="64">
                  <c:v>3.8226861689341723E-2</c:v>
                </c:pt>
                <c:pt idx="65">
                  <c:v>3.8693495393255152E-2</c:v>
                </c:pt>
                <c:pt idx="66">
                  <c:v>3.9157157550439768E-2</c:v>
                </c:pt>
                <c:pt idx="67">
                  <c:v>3.961311879592163E-2</c:v>
                </c:pt>
                <c:pt idx="68">
                  <c:v>4.0061684580501973E-2</c:v>
                </c:pt>
                <c:pt idx="69">
                  <c:v>4.0517288809770534E-2</c:v>
                </c:pt>
                <c:pt idx="70">
                  <c:v>4.0964906292308992E-2</c:v>
                </c:pt>
                <c:pt idx="71">
                  <c:v>4.1405890755293093E-2</c:v>
                </c:pt>
                <c:pt idx="72">
                  <c:v>4.1845279441193289E-2</c:v>
                </c:pt>
                <c:pt idx="73">
                  <c:v>4.2288034647000282E-2</c:v>
                </c:pt>
                <c:pt idx="74">
                  <c:v>4.2729509571451309E-2</c:v>
                </c:pt>
                <c:pt idx="75">
                  <c:v>4.3165103178497879E-2</c:v>
                </c:pt>
                <c:pt idx="76">
                  <c:v>4.3591767994614138E-2</c:v>
                </c:pt>
                <c:pt idx="77">
                  <c:v>4.3991165449434551E-2</c:v>
                </c:pt>
                <c:pt idx="78">
                  <c:v>4.4331899311935867E-2</c:v>
                </c:pt>
                <c:pt idx="79">
                  <c:v>4.4668904937297339E-2</c:v>
                </c:pt>
                <c:pt idx="80">
                  <c:v>4.5002256572109982E-2</c:v>
                </c:pt>
                <c:pt idx="81">
                  <c:v>4.5343100532913072E-2</c:v>
                </c:pt>
                <c:pt idx="82">
                  <c:v>4.5684139165571604E-2</c:v>
                </c:pt>
                <c:pt idx="83">
                  <c:v>4.6021749713321229E-2</c:v>
                </c:pt>
                <c:pt idx="84">
                  <c:v>4.6355985242034672E-2</c:v>
                </c:pt>
                <c:pt idx="85">
                  <c:v>4.6698015850350383E-2</c:v>
                </c:pt>
                <c:pt idx="86">
                  <c:v>4.7040516596036558E-2</c:v>
                </c:pt>
                <c:pt idx="87">
                  <c:v>4.737983289963453E-2</c:v>
                </c:pt>
                <c:pt idx="88">
                  <c:v>4.7719727265215763E-2</c:v>
                </c:pt>
                <c:pt idx="89">
                  <c:v>4.8063989271454534E-2</c:v>
                </c:pt>
                <c:pt idx="90">
                  <c:v>4.840896182433771E-2</c:v>
                </c:pt>
                <c:pt idx="91">
                  <c:v>4.8750953588131654E-2</c:v>
                </c:pt>
                <c:pt idx="92">
                  <c:v>4.9089985961123364E-2</c:v>
                </c:pt>
                <c:pt idx="93">
                  <c:v>4.9437382102677438E-2</c:v>
                </c:pt>
                <c:pt idx="94">
                  <c:v>4.9785700525807046E-2</c:v>
                </c:pt>
                <c:pt idx="95">
                  <c:v>5.0131204072693669E-2</c:v>
                </c:pt>
                <c:pt idx="96">
                  <c:v>5.0473902107550407E-2</c:v>
                </c:pt>
                <c:pt idx="97">
                  <c:v>5.0825238101560942E-2</c:v>
                </c:pt>
                <c:pt idx="98">
                  <c:v>5.1177686022332802E-2</c:v>
                </c:pt>
                <c:pt idx="99">
                  <c:v>5.1527455993716838E-2</c:v>
                </c:pt>
                <c:pt idx="100">
                  <c:v>5.1852957283371172E-2</c:v>
                </c:pt>
                <c:pt idx="101">
                  <c:v>5.1988647082564399E-2</c:v>
                </c:pt>
                <c:pt idx="102">
                  <c:v>5.2126275430059835E-2</c:v>
                </c:pt>
                <c:pt idx="103">
                  <c:v>5.226430119003253E-2</c:v>
                </c:pt>
                <c:pt idx="104">
                  <c:v>5.2404176045135004E-2</c:v>
                </c:pt>
                <c:pt idx="105">
                  <c:v>5.2547436777567652E-2</c:v>
                </c:pt>
                <c:pt idx="106">
                  <c:v>5.2692548090846128E-2</c:v>
                </c:pt>
                <c:pt idx="107">
                  <c:v>5.2837894185049993E-2</c:v>
                </c:pt>
                <c:pt idx="108">
                  <c:v>5.2983394517392632E-2</c:v>
                </c:pt>
                <c:pt idx="109">
                  <c:v>5.3133881255492919E-2</c:v>
                </c:pt>
                <c:pt idx="110">
                  <c:v>5.328614657716256E-2</c:v>
                </c:pt>
                <c:pt idx="111">
                  <c:v>5.3438501468535626E-2</c:v>
                </c:pt>
                <c:pt idx="112">
                  <c:v>5.3590870853279828E-2</c:v>
                </c:pt>
                <c:pt idx="113">
                  <c:v>5.3748318210678374E-2</c:v>
                </c:pt>
                <c:pt idx="114">
                  <c:v>5.3907485296232141E-2</c:v>
                </c:pt>
                <c:pt idx="115">
                  <c:v>5.4068369857684956E-2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7F6-498A-861E-7EA832C3E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1205536"/>
        <c:axId val="791207504"/>
      </c:lineChart>
      <c:dateAx>
        <c:axId val="791205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207504"/>
        <c:crosses val="autoZero"/>
        <c:auto val="0"/>
        <c:lblOffset val="100"/>
        <c:baseTimeUnit val="days"/>
        <c:majorUnit val="10"/>
      </c:dateAx>
      <c:valAx>
        <c:axId val="79120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205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59531</xdr:colOff>
      <xdr:row>1</xdr:row>
      <xdr:rowOff>47625</xdr:rowOff>
    </xdr:from>
    <xdr:to>
      <xdr:col>35</xdr:col>
      <xdr:colOff>431006</xdr:colOff>
      <xdr:row>43</xdr:row>
      <xdr:rowOff>171451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F2099CA-5E96-4AD2-BE8B-D7597DF72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AAD0B-B345-4A67-B665-0A56B3B3FBD0}">
  <sheetPr codeName="Sheet1"/>
  <dimension ref="A2:V122"/>
  <sheetViews>
    <sheetView showGridLines="0" zoomScale="80" zoomScaleNormal="80" workbookViewId="0">
      <selection activeCell="B4" sqref="B4"/>
    </sheetView>
  </sheetViews>
  <sheetFormatPr defaultRowHeight="15" outlineLevelCol="1"/>
  <cols>
    <col min="1" max="1" width="21.5703125" customWidth="1"/>
    <col min="2" max="2" width="17.5703125" bestFit="1" customWidth="1"/>
    <col min="3" max="3" width="2.7109375" customWidth="1"/>
    <col min="4" max="4" width="9.42578125" hidden="1" customWidth="1" outlineLevel="1"/>
    <col min="5" max="5" width="17.42578125" hidden="1" customWidth="1" outlineLevel="1"/>
    <col min="6" max="6" width="17.5703125" hidden="1" customWidth="1" outlineLevel="1"/>
    <col min="7" max="7" width="68.140625" hidden="1" customWidth="1" outlineLevel="1"/>
    <col min="8" max="8" width="9.140625" hidden="1" customWidth="1" outlineLevel="1"/>
    <col min="9" max="9" width="77" hidden="1" customWidth="1" outlineLevel="1"/>
    <col min="10" max="10" width="4.28515625" customWidth="1" collapsed="1"/>
    <col min="11" max="12" width="13.28515625" customWidth="1"/>
    <col min="13" max="13" width="3.140625" customWidth="1"/>
    <col min="14" max="14" width="14.28515625" style="17" customWidth="1"/>
    <col min="15" max="15" width="22.7109375" bestFit="1" customWidth="1"/>
    <col min="16" max="17" width="17.42578125" customWidth="1"/>
    <col min="18" max="18" width="17.42578125" style="19" customWidth="1"/>
    <col min="22" max="22" width="13.28515625" style="5" customWidth="1"/>
  </cols>
  <sheetData>
    <row r="2" spans="1:22">
      <c r="A2" s="6" t="s">
        <v>1</v>
      </c>
      <c r="B2" s="7">
        <v>44561</v>
      </c>
      <c r="D2" s="6" t="s">
        <v>5</v>
      </c>
      <c r="E2" s="6" t="s">
        <v>6</v>
      </c>
      <c r="F2" s="6" t="s">
        <v>32</v>
      </c>
      <c r="G2" s="6" t="s">
        <v>7</v>
      </c>
      <c r="H2" s="6" t="s">
        <v>8</v>
      </c>
      <c r="I2" s="6" t="s">
        <v>52</v>
      </c>
      <c r="K2" s="6" t="s">
        <v>34</v>
      </c>
      <c r="L2" s="26" t="s">
        <v>0</v>
      </c>
      <c r="N2" s="6" t="s">
        <v>45</v>
      </c>
      <c r="O2" s="15" t="s">
        <v>9</v>
      </c>
      <c r="P2" s="15" t="s">
        <v>10</v>
      </c>
      <c r="Q2" s="15" t="s">
        <v>13</v>
      </c>
      <c r="R2" s="15" t="s">
        <v>61</v>
      </c>
    </row>
    <row r="3" spans="1:22">
      <c r="A3" s="6" t="s">
        <v>2</v>
      </c>
      <c r="B3" s="8" t="str">
        <f>marketCreate("baseMarket",valueDate,,buildItems,B6)</f>
        <v>baseMarket</v>
      </c>
      <c r="D3" s="11" t="b">
        <v>1</v>
      </c>
      <c r="E3" s="11" t="s">
        <v>23</v>
      </c>
      <c r="F3" s="11" t="s">
        <v>9</v>
      </c>
      <c r="G3" s="13" t="s">
        <v>15</v>
      </c>
      <c r="H3" s="11" t="s">
        <v>29</v>
      </c>
      <c r="I3" s="11"/>
      <c r="K3" s="6" t="s">
        <v>35</v>
      </c>
      <c r="L3" s="27">
        <v>55153</v>
      </c>
      <c r="N3" s="6" t="s">
        <v>41</v>
      </c>
      <c r="O3" s="16" t="s">
        <v>42</v>
      </c>
      <c r="P3" s="16" t="s">
        <v>42</v>
      </c>
      <c r="Q3" s="16" t="s">
        <v>42</v>
      </c>
      <c r="R3" s="16" t="s">
        <v>42</v>
      </c>
    </row>
    <row r="4" spans="1:22">
      <c r="D4" s="12" t="b">
        <v>1</v>
      </c>
      <c r="E4" s="12" t="s">
        <v>23</v>
      </c>
      <c r="F4" s="12" t="s">
        <v>10</v>
      </c>
      <c r="G4" s="14" t="s">
        <v>33</v>
      </c>
      <c r="H4" s="12" t="s">
        <v>29</v>
      </c>
      <c r="I4" s="12"/>
      <c r="K4" s="6" t="s">
        <v>37</v>
      </c>
      <c r="L4" s="15" t="s">
        <v>38</v>
      </c>
      <c r="N4" s="6" t="s">
        <v>43</v>
      </c>
      <c r="O4" s="15" t="s">
        <v>38</v>
      </c>
      <c r="P4" s="15" t="s">
        <v>38</v>
      </c>
      <c r="Q4" s="15" t="s">
        <v>38</v>
      </c>
      <c r="R4" s="15" t="s">
        <v>38</v>
      </c>
    </row>
    <row r="5" spans="1:22">
      <c r="A5" s="6" t="s">
        <v>3</v>
      </c>
      <c r="B5" s="15"/>
      <c r="D5" s="11" t="b">
        <v>1</v>
      </c>
      <c r="E5" s="11" t="s">
        <v>23</v>
      </c>
      <c r="F5" s="11" t="s">
        <v>11</v>
      </c>
      <c r="G5" s="13" t="s">
        <v>16</v>
      </c>
      <c r="H5" s="11" t="s">
        <v>30</v>
      </c>
      <c r="I5" s="11"/>
      <c r="K5" s="6" t="s">
        <v>40</v>
      </c>
      <c r="L5" s="16" t="s">
        <v>44</v>
      </c>
      <c r="O5" s="1">
        <v>1</v>
      </c>
      <c r="P5" s="1">
        <v>1</v>
      </c>
      <c r="Q5" s="1">
        <v>1</v>
      </c>
      <c r="R5" s="18">
        <v>1</v>
      </c>
    </row>
    <row r="6" spans="1:22">
      <c r="A6" s="6" t="s">
        <v>4</v>
      </c>
      <c r="B6" s="16" t="b">
        <v>0</v>
      </c>
      <c r="D6" s="12" t="b">
        <v>1</v>
      </c>
      <c r="E6" s="12" t="s">
        <v>23</v>
      </c>
      <c r="F6" s="12" t="s">
        <v>12</v>
      </c>
      <c r="G6" s="14" t="s">
        <v>17</v>
      </c>
      <c r="H6" s="12" t="s">
        <v>31</v>
      </c>
      <c r="I6" s="12"/>
      <c r="K6" s="6" t="s">
        <v>36</v>
      </c>
      <c r="L6" s="15" t="s">
        <v>39</v>
      </c>
      <c r="N6" s="6" t="str">
        <f t="array" ref="N6:N122">ScheduleCreate(L2,L3,L4,L5,L6)</f>
        <v>Dates</v>
      </c>
      <c r="O6" s="6" t="str">
        <f t="array" ref="O6:O122">IF(O5=1,marketChartPoints(MarketHandle,O2,O3,N7:N122,O4),"")</f>
        <v>AUDBondGov.ZeroRates</v>
      </c>
      <c r="P6" s="6" t="str">
        <f t="array" ref="P6:P122">IF(P5=1,marketChartPoints(MarketHandle,P2,P3,N7:N122,P4),"")</f>
        <v>AUDSwap.ZeroRates</v>
      </c>
      <c r="Q6" s="6" t="str">
        <f t="array" ref="Q6:Q122">IF(Q5=1,marketChartPoints(MarketHandle,Q2,Q3,N7:N122,Q4),"")</f>
        <v>AUDSwap3m.ZeroRates</v>
      </c>
      <c r="R6" s="6" t="str">
        <f t="array" ref="R6:R122">IF(R5=1,marketChartPoints(MarketHandle,R2,R3,N7:N122,R4),"")</f>
        <v>AUDIaaCurve.ZeroRates</v>
      </c>
    </row>
    <row r="7" spans="1:22">
      <c r="D7" s="11" t="b">
        <v>1</v>
      </c>
      <c r="E7" s="11" t="s">
        <v>23</v>
      </c>
      <c r="F7" s="11" t="s">
        <v>13</v>
      </c>
      <c r="G7" s="13" t="s">
        <v>18</v>
      </c>
      <c r="H7" s="11" t="s">
        <v>29</v>
      </c>
      <c r="I7" s="11" t="s">
        <v>53</v>
      </c>
      <c r="N7" s="20" t="str">
        <v>30/03/2022</v>
      </c>
      <c r="O7" s="21">
        <v>8.2587081011777574E-4</v>
      </c>
      <c r="P7" s="21">
        <v>6.0840362229062808E-4</v>
      </c>
      <c r="Q7" s="21">
        <v>6.0840362229062808E-4</v>
      </c>
      <c r="R7" s="22">
        <v>8.811691120177708E-3</v>
      </c>
      <c r="V7" s="1"/>
    </row>
    <row r="8" spans="1:22">
      <c r="D8" s="12" t="b">
        <v>1</v>
      </c>
      <c r="E8" s="12" t="s">
        <v>23</v>
      </c>
      <c r="F8" s="12" t="s">
        <v>14</v>
      </c>
      <c r="G8" s="14" t="s">
        <v>19</v>
      </c>
      <c r="H8" s="12" t="s">
        <v>29</v>
      </c>
      <c r="I8" s="12" t="s">
        <v>53</v>
      </c>
      <c r="N8" s="23" t="str">
        <v>30/06/2022</v>
      </c>
      <c r="O8" s="24">
        <v>8.2595676888610765E-4</v>
      </c>
      <c r="P8" s="24">
        <v>2.0592353578433504E-3</v>
      </c>
      <c r="Q8" s="24">
        <v>1.3302731488062077E-3</v>
      </c>
      <c r="R8" s="25">
        <v>8.9616133509066703E-3</v>
      </c>
      <c r="V8" s="1"/>
    </row>
    <row r="9" spans="1:22">
      <c r="A9" s="6" t="str">
        <f t="array" ref="A9:B22">marketItems(B3)</f>
        <v>Currency|ItemType</v>
      </c>
      <c r="B9" s="6" t="str">
        <v>Items</v>
      </c>
      <c r="D9" s="11" t="b">
        <v>1</v>
      </c>
      <c r="E9" s="11" t="s">
        <v>23</v>
      </c>
      <c r="F9" s="11" t="s">
        <v>20</v>
      </c>
      <c r="G9" s="13" t="s">
        <v>26</v>
      </c>
      <c r="H9" s="11" t="s">
        <v>29</v>
      </c>
      <c r="I9" s="11" t="s">
        <v>54</v>
      </c>
      <c r="N9" s="20" t="str">
        <v>30/09/2022</v>
      </c>
      <c r="O9" s="21">
        <v>1.9044673356880724E-3</v>
      </c>
      <c r="P9" s="21">
        <v>3.2516005826666392E-3</v>
      </c>
      <c r="Q9" s="21">
        <v>3.2517250419449766E-3</v>
      </c>
      <c r="R9" s="22">
        <v>9.9211635355254558E-3</v>
      </c>
      <c r="V9" s="1"/>
    </row>
    <row r="10" spans="1:22">
      <c r="A10" s="9" t="str">
        <v>AUD|YieldCurve</v>
      </c>
      <c r="B10" s="9" t="str">
        <v>AUDBondGov</v>
      </c>
      <c r="D10" s="12" t="b">
        <v>1</v>
      </c>
      <c r="E10" s="12" t="s">
        <v>24</v>
      </c>
      <c r="F10" s="12" t="s">
        <v>21</v>
      </c>
      <c r="G10" s="14" t="s">
        <v>28</v>
      </c>
      <c r="H10" s="12" t="s">
        <v>29</v>
      </c>
      <c r="I10" s="12"/>
      <c r="N10" s="23" t="str">
        <v>30/12/2022</v>
      </c>
      <c r="O10" s="24">
        <v>2.6701937587860197E-3</v>
      </c>
      <c r="P10" s="24">
        <v>3.8629874277783418E-3</v>
      </c>
      <c r="Q10" s="24">
        <v>3.8631775679381615E-3</v>
      </c>
      <c r="R10" s="25">
        <v>1.0695237123385274E-2</v>
      </c>
      <c r="V10" s="1"/>
    </row>
    <row r="11" spans="1:22">
      <c r="A11" s="10" t="str">
        <v>AUD|YieldCurve</v>
      </c>
      <c r="B11" s="10" t="str">
        <v>AUDSwap</v>
      </c>
      <c r="D11" s="11" t="b">
        <v>1</v>
      </c>
      <c r="E11" s="11" t="s">
        <v>25</v>
      </c>
      <c r="F11" s="11" t="s">
        <v>22</v>
      </c>
      <c r="G11" s="13" t="s">
        <v>27</v>
      </c>
      <c r="H11" s="11" t="s">
        <v>29</v>
      </c>
      <c r="I11" s="11" t="s">
        <v>58</v>
      </c>
      <c r="N11" s="20" t="str">
        <v>30/03/2023</v>
      </c>
      <c r="O11" s="21">
        <v>3.209544895376447E-3</v>
      </c>
      <c r="P11" s="21">
        <v>5.8481853883210512E-3</v>
      </c>
      <c r="Q11" s="21">
        <v>5.8483426281087667E-3</v>
      </c>
      <c r="R11" s="22">
        <v>1.1303698180520452E-2</v>
      </c>
      <c r="V11" s="1"/>
    </row>
    <row r="12" spans="1:22">
      <c r="A12" s="9" t="str">
        <v>GBP|YieldCurve</v>
      </c>
      <c r="B12" s="9" t="str">
        <v>GBPOIS</v>
      </c>
      <c r="D12" s="12" t="b">
        <v>1</v>
      </c>
      <c r="E12" s="12" t="s">
        <v>55</v>
      </c>
      <c r="F12" s="12" t="s">
        <v>56</v>
      </c>
      <c r="G12" s="14" t="s">
        <v>57</v>
      </c>
      <c r="H12" s="12" t="s">
        <v>29</v>
      </c>
      <c r="I12" s="12" t="s">
        <v>59</v>
      </c>
      <c r="N12" s="23" t="str">
        <v>30/06/2023</v>
      </c>
      <c r="O12" s="24">
        <v>4.0789175336255843E-3</v>
      </c>
      <c r="P12" s="24">
        <v>7.2904871088599653E-3</v>
      </c>
      <c r="Q12" s="24">
        <v>7.2906183255561736E-3</v>
      </c>
      <c r="R12" s="25">
        <v>1.2144618910257534E-2</v>
      </c>
      <c r="V12" s="1"/>
    </row>
    <row r="13" spans="1:22">
      <c r="A13" s="10" t="str">
        <v>JPY|YieldCurve</v>
      </c>
      <c r="B13" s="10" t="str">
        <v>JPYOIS</v>
      </c>
      <c r="D13" s="11" t="b">
        <v>1</v>
      </c>
      <c r="E13" s="11" t="s">
        <v>60</v>
      </c>
      <c r="F13" s="11" t="s">
        <v>61</v>
      </c>
      <c r="G13" s="13"/>
      <c r="H13" s="11" t="s">
        <v>29</v>
      </c>
      <c r="I13" s="11" t="s">
        <v>62</v>
      </c>
      <c r="N13" s="20" t="str">
        <v>30/09/2023</v>
      </c>
      <c r="O13" s="21">
        <v>4.8350899616342079E-3</v>
      </c>
      <c r="P13" s="21">
        <v>8.3243178242747816E-3</v>
      </c>
      <c r="Q13" s="21">
        <v>8.324430524427235E-3</v>
      </c>
      <c r="R13" s="22">
        <v>1.2926198394582597E-2</v>
      </c>
      <c r="V13" s="1"/>
    </row>
    <row r="14" spans="1:22">
      <c r="A14" s="9" t="str">
        <v>AUD|YieldCurve</v>
      </c>
      <c r="B14" s="9" t="str">
        <v>AUDSwap3m</v>
      </c>
      <c r="D14" s="12" t="b">
        <v>1</v>
      </c>
      <c r="E14" s="12" t="s">
        <v>23</v>
      </c>
      <c r="F14" s="12" t="s">
        <v>63</v>
      </c>
      <c r="G14" s="14" t="s">
        <v>64</v>
      </c>
      <c r="H14" s="12" t="s">
        <v>65</v>
      </c>
      <c r="I14" s="12"/>
      <c r="N14" s="23" t="str">
        <v>30/12/2023</v>
      </c>
      <c r="O14" s="24">
        <v>5.3979886088293622E-3</v>
      </c>
      <c r="P14" s="24">
        <v>9.0966830884154377E-3</v>
      </c>
      <c r="Q14" s="24">
        <v>9.0967820722101904E-3</v>
      </c>
      <c r="R14" s="25">
        <v>1.351473138149837E-2</v>
      </c>
      <c r="V14" s="1"/>
    </row>
    <row r="15" spans="1:22">
      <c r="A15" s="10" t="str">
        <v>AUD|YieldCurve</v>
      </c>
      <c r="B15" s="10" t="str">
        <v>AUDSwap6m</v>
      </c>
      <c r="D15" s="11" t="b">
        <v>1</v>
      </c>
      <c r="E15" s="11" t="s">
        <v>66</v>
      </c>
      <c r="F15" s="11" t="s">
        <v>67</v>
      </c>
      <c r="G15" s="13" t="s">
        <v>68</v>
      </c>
      <c r="H15" s="11" t="s">
        <v>65</v>
      </c>
      <c r="I15" s="11" t="s">
        <v>69</v>
      </c>
      <c r="N15" s="20" t="str">
        <v>30/03/2024</v>
      </c>
      <c r="O15" s="21">
        <v>5.8383469010214167E-3</v>
      </c>
      <c r="P15" s="21">
        <v>1.0348666890712899E-2</v>
      </c>
      <c r="Q15" s="21">
        <v>1.0348734318104961E-2</v>
      </c>
      <c r="R15" s="22">
        <v>1.4074072830055141E-2</v>
      </c>
      <c r="V15" s="1"/>
    </row>
    <row r="16" spans="1:22">
      <c r="A16" s="9" t="str">
        <v>AUD|YieldCurve</v>
      </c>
      <c r="B16" s="9" t="str">
        <v>AUDSwap1m</v>
      </c>
      <c r="D16" s="12"/>
      <c r="E16" s="12"/>
      <c r="F16" s="12"/>
      <c r="G16" s="14"/>
      <c r="H16" s="12"/>
      <c r="I16" s="12"/>
      <c r="N16" s="23" t="str">
        <v>30/06/2024</v>
      </c>
      <c r="O16" s="24">
        <v>7.1653110156766706E-3</v>
      </c>
      <c r="P16" s="24">
        <v>1.1405043503803836E-2</v>
      </c>
      <c r="Q16" s="24">
        <v>1.1405084127372128E-2</v>
      </c>
      <c r="R16" s="25">
        <v>1.5352005358984427E-2</v>
      </c>
      <c r="V16" s="1"/>
    </row>
    <row r="17" spans="1:22">
      <c r="A17" s="10" t="str">
        <v>AUD|IndexFixing</v>
      </c>
      <c r="B17" s="10" t="str">
        <v>AUCPI</v>
      </c>
      <c r="D17" s="11"/>
      <c r="E17" s="11"/>
      <c r="F17" s="11"/>
      <c r="G17" s="13"/>
      <c r="H17" s="11"/>
      <c r="I17" s="11"/>
      <c r="N17" s="20" t="str">
        <v>30/09/2024</v>
      </c>
      <c r="O17" s="21">
        <v>8.5356614530931636E-3</v>
      </c>
      <c r="P17" s="21">
        <v>1.2277606042150871E-2</v>
      </c>
      <c r="Q17" s="21">
        <v>1.2277624586335124E-2</v>
      </c>
      <c r="R17" s="22">
        <v>1.6782325972158681E-2</v>
      </c>
      <c r="V17" s="1"/>
    </row>
    <row r="18" spans="1:22">
      <c r="A18" s="9" t="str">
        <v>AUD|InflationCurve</v>
      </c>
      <c r="B18" s="9" t="str">
        <v>AUD.Bond.Gov.BEI</v>
      </c>
      <c r="D18" s="12"/>
      <c r="E18" s="12"/>
      <c r="F18" s="12"/>
      <c r="G18" s="14"/>
      <c r="H18" s="12"/>
      <c r="I18" s="12"/>
      <c r="J18" s="3"/>
      <c r="N18" s="23" t="str">
        <v>30/12/2024</v>
      </c>
      <c r="O18" s="24">
        <v>9.7892135571882033E-3</v>
      </c>
      <c r="P18" s="24">
        <v>1.3005314756876718E-2</v>
      </c>
      <c r="Q18" s="24">
        <v>1.3005314940830237E-2</v>
      </c>
      <c r="R18" s="25">
        <v>1.8079362405794663E-2</v>
      </c>
      <c r="V18" s="1"/>
    </row>
    <row r="19" spans="1:22">
      <c r="A19" s="10" t="str">
        <v>AUD|PriceCurve</v>
      </c>
      <c r="B19" s="10" t="str">
        <v>IaaSpread</v>
      </c>
      <c r="D19" s="11"/>
      <c r="E19" s="11"/>
      <c r="F19" s="11"/>
      <c r="G19" s="13"/>
      <c r="H19" s="11"/>
      <c r="I19" s="11"/>
      <c r="J19" s="3"/>
      <c r="N19" s="20" t="str">
        <v>30/03/2025</v>
      </c>
      <c r="O19" s="21">
        <v>1.0990393762130977E-2</v>
      </c>
      <c r="P19" s="21">
        <v>1.3862039579356597E-2</v>
      </c>
      <c r="Q19" s="21">
        <v>1.3656174912238112E-2</v>
      </c>
      <c r="R19" s="22">
        <v>1.9306412883241666E-2</v>
      </c>
      <c r="V19" s="1"/>
    </row>
    <row r="20" spans="1:22">
      <c r="A20" s="9" t="str">
        <v>AUD|SpreadYieldCurve</v>
      </c>
      <c r="B20" s="9" t="str">
        <v>AUDIaaCurve</v>
      </c>
      <c r="D20" s="12"/>
      <c r="E20" s="12"/>
      <c r="F20" s="12"/>
      <c r="G20" s="14"/>
      <c r="H20" s="12"/>
      <c r="I20" s="12"/>
      <c r="J20" s="3"/>
      <c r="N20" s="23" t="str">
        <v>30/06/2025</v>
      </c>
      <c r="O20" s="24">
        <v>1.1725218696269817E-2</v>
      </c>
      <c r="P20" s="24">
        <v>1.4642415001599336E-2</v>
      </c>
      <c r="Q20" s="24">
        <v>1.4237379421605559E-2</v>
      </c>
      <c r="R20" s="25">
        <v>2.0122050324042892E-2</v>
      </c>
      <c r="V20" s="1"/>
    </row>
    <row r="21" spans="1:22">
      <c r="A21" s="10" t="str">
        <v>USD|YieldCurve</v>
      </c>
      <c r="B21" s="10" t="str">
        <v>USDOIS</v>
      </c>
      <c r="D21" s="11"/>
      <c r="E21" s="11"/>
      <c r="F21" s="11"/>
      <c r="G21" s="13"/>
      <c r="H21" s="11"/>
      <c r="I21" s="11"/>
      <c r="J21" s="3"/>
      <c r="N21" s="20" t="str">
        <v>30/09/2025</v>
      </c>
      <c r="O21" s="21">
        <v>1.227160098542128E-2</v>
      </c>
      <c r="P21" s="21">
        <v>1.5327788571830658E-2</v>
      </c>
      <c r="Q21" s="21">
        <v>1.4748121542156359E-2</v>
      </c>
      <c r="R21" s="22">
        <v>2.0715311933561388E-2</v>
      </c>
      <c r="V21" s="1"/>
    </row>
    <row r="22" spans="1:22">
      <c r="A22" s="9" t="str">
        <v>USD|CreditCurve</v>
      </c>
      <c r="B22" s="9" t="str">
        <v>USDCreditSwap</v>
      </c>
      <c r="D22" s="12"/>
      <c r="E22" s="12"/>
      <c r="F22" s="12"/>
      <c r="G22" s="14"/>
      <c r="H22" s="12"/>
      <c r="I22" s="12"/>
      <c r="J22" s="3"/>
      <c r="N22" s="23" t="str">
        <v>30/12/2025</v>
      </c>
      <c r="O22" s="24">
        <v>1.2739619846080186E-2</v>
      </c>
      <c r="P22" s="24">
        <v>1.5929911505551952E-2</v>
      </c>
      <c r="Q22" s="24">
        <v>1.5197087711777302E-2</v>
      </c>
      <c r="R22" s="25">
        <v>2.1231570620820317E-2</v>
      </c>
      <c r="V22" s="1"/>
    </row>
    <row r="23" spans="1:22">
      <c r="A23" s="10"/>
      <c r="B23" s="10"/>
      <c r="D23" s="11"/>
      <c r="E23" s="11"/>
      <c r="F23" s="11"/>
      <c r="G23" s="13"/>
      <c r="H23" s="11"/>
      <c r="I23" s="11"/>
      <c r="N23" s="20" t="str">
        <v>30/03/2026</v>
      </c>
      <c r="O23" s="21">
        <v>1.3140600092324961E-2</v>
      </c>
      <c r="P23" s="21">
        <v>1.6351258421751051E-2</v>
      </c>
      <c r="Q23" s="21">
        <v>1.5606365955894541E-2</v>
      </c>
      <c r="R23" s="22">
        <v>2.1674569685554645E-2</v>
      </c>
      <c r="V23" s="1"/>
    </row>
    <row r="24" spans="1:22">
      <c r="A24" s="9"/>
      <c r="B24" s="9"/>
      <c r="D24" s="12"/>
      <c r="E24" s="12"/>
      <c r="F24" s="12"/>
      <c r="G24" s="14"/>
      <c r="H24" s="12"/>
      <c r="I24" s="12"/>
      <c r="N24" s="23" t="str">
        <v>30/06/2026</v>
      </c>
      <c r="O24" s="24">
        <v>1.3458644033522902E-2</v>
      </c>
      <c r="P24" s="24">
        <v>1.6733451029194751E-2</v>
      </c>
      <c r="Q24" s="24">
        <v>1.598561276487688E-2</v>
      </c>
      <c r="R24" s="25">
        <v>2.2043767660721462E-2</v>
      </c>
      <c r="V24" s="1"/>
    </row>
    <row r="25" spans="1:22">
      <c r="A25" s="10"/>
      <c r="B25" s="10"/>
      <c r="D25" s="11"/>
      <c r="E25" s="11"/>
      <c r="F25" s="11"/>
      <c r="G25" s="13"/>
      <c r="H25" s="11"/>
      <c r="I25" s="11"/>
      <c r="N25" s="20" t="str">
        <v>30/09/2026</v>
      </c>
      <c r="O25" s="21">
        <v>1.3740036344624673E-2</v>
      </c>
      <c r="P25" s="21">
        <v>1.7081802722469921E-2</v>
      </c>
      <c r="Q25" s="21">
        <v>1.6330895608279519E-2</v>
      </c>
      <c r="R25" s="22">
        <v>2.2371586140808593E-2</v>
      </c>
      <c r="V25" s="1"/>
    </row>
    <row r="26" spans="1:22">
      <c r="A26" s="9"/>
      <c r="B26" s="9"/>
      <c r="G26" s="2"/>
      <c r="N26" s="23" t="str">
        <v>30/12/2026</v>
      </c>
      <c r="O26" s="24">
        <v>1.406443007113185E-2</v>
      </c>
      <c r="P26" s="24">
        <v>1.7398127454270006E-2</v>
      </c>
      <c r="Q26" s="24">
        <v>1.6644078812232222E-2</v>
      </c>
      <c r="R26" s="25">
        <v>2.2744919210279279E-2</v>
      </c>
      <c r="V26" s="1"/>
    </row>
    <row r="27" spans="1:22">
      <c r="A27" s="10"/>
      <c r="B27" s="10"/>
      <c r="G27" s="2"/>
      <c r="N27" s="20" t="str">
        <v>30/03/2027</v>
      </c>
      <c r="O27" s="21">
        <v>1.4359418855721496E-2</v>
      </c>
      <c r="P27" s="21">
        <v>1.7729386724289111E-2</v>
      </c>
      <c r="Q27" s="21">
        <v>1.6979557892090189E-2</v>
      </c>
      <c r="R27" s="22">
        <v>2.3089080441328812E-2</v>
      </c>
      <c r="V27" s="1"/>
    </row>
    <row r="28" spans="1:22">
      <c r="A28" s="9"/>
      <c r="B28" s="9"/>
      <c r="G28" s="2"/>
      <c r="N28" s="23" t="str">
        <v>30/06/2027</v>
      </c>
      <c r="O28" s="24">
        <v>1.464257787221258E-2</v>
      </c>
      <c r="P28" s="24">
        <v>1.8046011472710028E-2</v>
      </c>
      <c r="Q28" s="24">
        <v>1.7300216684732243E-2</v>
      </c>
      <c r="R28" s="25">
        <v>2.3422136722021984E-2</v>
      </c>
      <c r="V28" s="1"/>
    </row>
    <row r="29" spans="1:22">
      <c r="G29" s="2"/>
      <c r="N29" s="20" t="str">
        <v>30/09/2027</v>
      </c>
      <c r="O29" s="21">
        <v>1.490661926632815E-2</v>
      </c>
      <c r="P29" s="21">
        <v>1.8341015513246278E-2</v>
      </c>
      <c r="Q29" s="21">
        <v>1.7598596947453093E-2</v>
      </c>
      <c r="R29" s="22">
        <v>2.3740167852799105E-2</v>
      </c>
      <c r="V29" s="1"/>
    </row>
    <row r="30" spans="1:22">
      <c r="G30" s="2"/>
      <c r="N30" s="23" t="str">
        <v>30/12/2027</v>
      </c>
      <c r="O30" s="24">
        <v>1.5189680318664744E-2</v>
      </c>
      <c r="P30" s="24">
        <v>1.8614247082432828E-2</v>
      </c>
      <c r="Q30" s="24">
        <v>1.7874599816370518E-2</v>
      </c>
      <c r="R30" s="25">
        <v>2.4072338384892828E-2</v>
      </c>
      <c r="V30" s="1"/>
    </row>
    <row r="31" spans="1:22">
      <c r="G31" s="2"/>
      <c r="N31" s="20" t="str">
        <v>30/03/2028</v>
      </c>
      <c r="O31" s="21">
        <v>1.5505431668349385E-2</v>
      </c>
      <c r="P31" s="21">
        <v>1.8911183073606667E-2</v>
      </c>
      <c r="Q31" s="21">
        <v>1.8171993011422777E-2</v>
      </c>
      <c r="R31" s="22">
        <v>2.4443268873419847E-2</v>
      </c>
      <c r="V31" s="1"/>
    </row>
    <row r="32" spans="1:22">
      <c r="G32" s="2"/>
      <c r="N32" s="23" t="str">
        <v>30/06/2028</v>
      </c>
      <c r="O32" s="24">
        <v>1.5804313478091355E-2</v>
      </c>
      <c r="P32" s="24">
        <v>1.9196436621153331E-2</v>
      </c>
      <c r="Q32" s="24">
        <v>1.8457265018551255E-2</v>
      </c>
      <c r="R32" s="25">
        <v>2.4798366327285236E-2</v>
      </c>
      <c r="V32" s="1"/>
    </row>
    <row r="33" spans="7:22">
      <c r="G33" s="2"/>
      <c r="N33" s="20" t="str">
        <v>30/09/2028</v>
      </c>
      <c r="O33" s="21">
        <v>1.6084907573207928E-2</v>
      </c>
      <c r="P33" s="21">
        <v>1.9466202860246896E-2</v>
      </c>
      <c r="Q33" s="21">
        <v>1.8726749164446957E-2</v>
      </c>
      <c r="R33" s="22">
        <v>2.5134207819738085E-2</v>
      </c>
      <c r="V33" s="1"/>
    </row>
    <row r="34" spans="7:22">
      <c r="G34" s="2"/>
      <c r="N34" s="23" t="str">
        <v>30/12/2028</v>
      </c>
      <c r="O34" s="24">
        <v>1.6331272262172687E-2</v>
      </c>
      <c r="P34" s="24">
        <v>1.9719472850046608E-2</v>
      </c>
      <c r="Q34" s="24">
        <v>1.8979473851181542E-2</v>
      </c>
      <c r="R34" s="25">
        <v>2.543734862310771E-2</v>
      </c>
      <c r="V34" s="1"/>
    </row>
    <row r="35" spans="7:22">
      <c r="N35" s="20" t="str">
        <v>30/03/2029</v>
      </c>
      <c r="O35" s="21">
        <v>1.6542175372904581E-2</v>
      </c>
      <c r="P35" s="21">
        <v>1.995905113712048E-2</v>
      </c>
      <c r="Q35" s="21">
        <v>1.9215348401586608E-2</v>
      </c>
      <c r="R35" s="22">
        <v>2.5705228295139684E-2</v>
      </c>
      <c r="V35" s="1"/>
    </row>
    <row r="36" spans="7:22">
      <c r="N36" s="23" t="str">
        <v>30/06/2029</v>
      </c>
      <c r="O36" s="24">
        <v>1.6778264491297067E-2</v>
      </c>
      <c r="P36" s="24">
        <v>2.0193002905408357E-2</v>
      </c>
      <c r="Q36" s="24">
        <v>1.9445288061690769E-2</v>
      </c>
      <c r="R36" s="25">
        <v>2.5995901518321457E-2</v>
      </c>
      <c r="V36" s="1"/>
    </row>
    <row r="37" spans="7:22">
      <c r="N37" s="20" t="str">
        <v>30/09/2029</v>
      </c>
      <c r="O37" s="21">
        <v>1.7012549263906003E-2</v>
      </c>
      <c r="P37" s="21">
        <v>2.0416931822884402E-2</v>
      </c>
      <c r="Q37" s="21">
        <v>1.9665161400305792E-2</v>
      </c>
      <c r="R37" s="22">
        <v>2.6287698704804834E-2</v>
      </c>
      <c r="V37" s="1"/>
    </row>
    <row r="38" spans="7:22">
      <c r="N38" s="23" t="str">
        <v>30/12/2029</v>
      </c>
      <c r="O38" s="24">
        <v>1.722260182861831E-2</v>
      </c>
      <c r="P38" s="24">
        <v>2.0629524190566222E-2</v>
      </c>
      <c r="Q38" s="24">
        <v>1.9873701064420803E-2</v>
      </c>
      <c r="R38" s="25">
        <v>2.6556184300579096E-2</v>
      </c>
      <c r="V38" s="1"/>
    </row>
    <row r="39" spans="7:22">
      <c r="N39" s="20" t="str">
        <v>30/03/2030</v>
      </c>
      <c r="O39" s="21">
        <v>1.7407206381471689E-2</v>
      </c>
      <c r="P39" s="21">
        <v>2.0829240885078731E-2</v>
      </c>
      <c r="Q39" s="21">
        <v>2.0073368143047582E-2</v>
      </c>
      <c r="R39" s="22">
        <v>2.6795167320457693E-2</v>
      </c>
      <c r="V39" s="1"/>
    </row>
    <row r="40" spans="7:22">
      <c r="N40" s="23" t="str">
        <v>30/06/2030</v>
      </c>
      <c r="O40" s="24">
        <v>1.7564928547482334E-2</v>
      </c>
      <c r="P40" s="24">
        <v>2.1025998543667424E-2</v>
      </c>
      <c r="Q40" s="24">
        <v>2.0270077139878086E-2</v>
      </c>
      <c r="R40" s="25">
        <v>2.7011155279366424E-2</v>
      </c>
      <c r="V40" s="1"/>
    </row>
    <row r="41" spans="7:22">
      <c r="N41" s="20" t="str">
        <v>30/09/2030</v>
      </c>
      <c r="O41" s="21">
        <v>1.7687066291208441E-2</v>
      </c>
      <c r="P41" s="21">
        <v>2.1216097165387304E-2</v>
      </c>
      <c r="Q41" s="21">
        <v>2.0459899365810993E-2</v>
      </c>
      <c r="R41" s="22">
        <v>2.7187891630996906E-2</v>
      </c>
      <c r="V41" s="1"/>
    </row>
    <row r="42" spans="7:22">
      <c r="N42" s="23" t="str">
        <v>30/12/2030</v>
      </c>
      <c r="O42" s="24">
        <v>1.780711103226006E-2</v>
      </c>
      <c r="P42" s="24">
        <v>2.1398153175254692E-2</v>
      </c>
      <c r="Q42" s="24">
        <v>2.0641474841242013E-2</v>
      </c>
      <c r="R42" s="25">
        <v>2.7362505223532872E-2</v>
      </c>
      <c r="V42" s="1"/>
    </row>
    <row r="43" spans="7:22">
      <c r="N43" s="20" t="str">
        <v>30/03/2031</v>
      </c>
      <c r="O43" s="21">
        <v>1.7949482263686832E-2</v>
      </c>
      <c r="P43" s="21">
        <v>2.1592633803597949E-2</v>
      </c>
      <c r="Q43" s="21">
        <v>2.0840065090883923E-2</v>
      </c>
      <c r="R43" s="22">
        <v>2.7561196503016954E-2</v>
      </c>
      <c r="V43" s="1"/>
    </row>
    <row r="44" spans="7:22">
      <c r="N44" s="23" t="str">
        <v>30/06/2031</v>
      </c>
      <c r="O44" s="24">
        <v>1.8084590473592843E-2</v>
      </c>
      <c r="P44" s="24">
        <v>2.1787238715643035E-2</v>
      </c>
      <c r="Q44" s="24">
        <v>2.1038888752830734E-2</v>
      </c>
      <c r="R44" s="25">
        <v>2.7753756545271808E-2</v>
      </c>
      <c r="V44" s="1"/>
    </row>
    <row r="45" spans="7:22">
      <c r="N45" s="20" t="str">
        <v>30/09/2031</v>
      </c>
      <c r="O45" s="21">
        <v>1.8162935854257E-2</v>
      </c>
      <c r="P45" s="21">
        <v>2.1976329022184132E-2</v>
      </c>
      <c r="Q45" s="21">
        <v>2.1231820664968266E-2</v>
      </c>
      <c r="R45" s="22">
        <v>2.7888584093522423E-2</v>
      </c>
      <c r="V45" s="1"/>
    </row>
    <row r="46" spans="7:22">
      <c r="N46" s="23" t="str">
        <v>30/12/2031</v>
      </c>
      <c r="O46" s="24">
        <v>1.8272430117706143E-2</v>
      </c>
      <c r="P46" s="24">
        <v>2.2158373995191938E-2</v>
      </c>
      <c r="Q46" s="24">
        <v>2.1417321114097245E-2</v>
      </c>
      <c r="R46" s="25">
        <v>2.8051378312868341E-2</v>
      </c>
      <c r="V46" s="1"/>
    </row>
    <row r="47" spans="7:22">
      <c r="N47" s="20" t="str">
        <v>30/03/2032</v>
      </c>
      <c r="O47" s="21">
        <v>1.842303189508214E-2</v>
      </c>
      <c r="P47" s="21">
        <v>2.2339079476191806E-2</v>
      </c>
      <c r="Q47" s="21">
        <v>2.1591882055614874E-2</v>
      </c>
      <c r="R47" s="22">
        <v>2.8265132132499076E-2</v>
      </c>
      <c r="V47" s="1"/>
    </row>
    <row r="48" spans="7:22">
      <c r="N48" s="23" t="str">
        <v>30/06/2032</v>
      </c>
      <c r="O48" s="24">
        <v>1.8608005619705877E-2</v>
      </c>
      <c r="P48" s="24">
        <v>2.2517588524379985E-2</v>
      </c>
      <c r="Q48" s="24">
        <v>2.1763565091461053E-2</v>
      </c>
      <c r="R48" s="25">
        <v>2.8511246151793155E-2</v>
      </c>
      <c r="V48" s="1"/>
    </row>
    <row r="49" spans="14:22">
      <c r="N49" s="20" t="str">
        <v>30/09/2032</v>
      </c>
      <c r="O49" s="21">
        <v>1.8834877017387407E-2</v>
      </c>
      <c r="P49" s="21">
        <v>2.2691992968936054E-2</v>
      </c>
      <c r="Q49" s="21">
        <v>2.1931198177831495E-2</v>
      </c>
      <c r="R49" s="22">
        <v>2.8806892053343736E-2</v>
      </c>
      <c r="V49" s="1"/>
    </row>
    <row r="50" spans="14:22">
      <c r="N50" s="23" t="str">
        <v>30/12/2032</v>
      </c>
      <c r="O50" s="24">
        <v>1.9052860985356489E-2</v>
      </c>
      <c r="P50" s="24">
        <v>2.2860765154206597E-2</v>
      </c>
      <c r="Q50" s="24">
        <v>2.2093320471813671E-2</v>
      </c>
      <c r="R50" s="25">
        <v>2.9093411972754904E-2</v>
      </c>
      <c r="V50" s="1"/>
    </row>
    <row r="51" spans="14:22">
      <c r="N51" s="20" t="str">
        <v>30/03/2033</v>
      </c>
      <c r="O51" s="21">
        <v>1.9262607061603976E-2</v>
      </c>
      <c r="P51" s="21">
        <v>2.3024294376399222E-2</v>
      </c>
      <c r="Q51" s="21">
        <v>2.225031446254648E-2</v>
      </c>
      <c r="R51" s="22">
        <v>2.9380205765890177E-2</v>
      </c>
      <c r="V51" s="1"/>
    </row>
    <row r="52" spans="14:22">
      <c r="N52" s="23" t="str">
        <v>30/06/2033</v>
      </c>
      <c r="O52" s="24">
        <v>1.9564215671182033E-2</v>
      </c>
      <c r="P52" s="24">
        <v>2.318822535515808E-2</v>
      </c>
      <c r="Q52" s="24">
        <v>2.2407602793089437E-2</v>
      </c>
      <c r="R52" s="25">
        <v>2.9751979664737575E-2</v>
      </c>
      <c r="V52" s="1"/>
    </row>
    <row r="53" spans="14:22">
      <c r="N53" s="20" t="str">
        <v>30/09/2033</v>
      </c>
      <c r="O53" s="21">
        <v>1.9886486726079629E-2</v>
      </c>
      <c r="P53" s="21">
        <v>2.3349121320617183E-2</v>
      </c>
      <c r="Q53" s="21">
        <v>2.256188974054223E-2</v>
      </c>
      <c r="R53" s="22">
        <v>3.0156582440495985E-2</v>
      </c>
      <c r="V53" s="1"/>
    </row>
    <row r="54" spans="14:22">
      <c r="N54" s="23" t="str">
        <v>30/12/2033</v>
      </c>
      <c r="O54" s="24">
        <v>2.0197028342568424E-2</v>
      </c>
      <c r="P54" s="24">
        <v>2.3505493495648497E-2</v>
      </c>
      <c r="Q54" s="24">
        <v>2.2711753642539183E-2</v>
      </c>
      <c r="R54" s="25">
        <v>3.0549263040137924E-2</v>
      </c>
      <c r="V54" s="1"/>
    </row>
    <row r="55" spans="14:22">
      <c r="N55" s="20" t="str">
        <v>30/03/2034</v>
      </c>
      <c r="O55" s="21">
        <v>2.049663581322116E-2</v>
      </c>
      <c r="P55" s="21">
        <v>2.3656504895635703E-2</v>
      </c>
      <c r="Q55" s="21">
        <v>2.285287614995159E-2</v>
      </c>
      <c r="R55" s="22">
        <v>3.0930791785460411E-2</v>
      </c>
      <c r="V55" s="1"/>
    </row>
    <row r="56" spans="14:22">
      <c r="N56" s="23" t="str">
        <v>30/06/2034</v>
      </c>
      <c r="O56" s="24">
        <v>2.079566726093407E-2</v>
      </c>
      <c r="P56" s="24">
        <v>2.3808419263877723E-2</v>
      </c>
      <c r="Q56" s="24">
        <v>2.2994598947085998E-2</v>
      </c>
      <c r="R56" s="25">
        <v>3.1314224196408807E-2</v>
      </c>
      <c r="V56" s="1"/>
    </row>
    <row r="57" spans="14:22">
      <c r="N57" s="20" t="str">
        <v>30/09/2034</v>
      </c>
      <c r="O57" s="21">
        <v>2.1087850503235188E-2</v>
      </c>
      <c r="P57" s="21">
        <v>2.39580871488707E-2</v>
      </c>
      <c r="Q57" s="21">
        <v>2.3134195786981313E-2</v>
      </c>
      <c r="R57" s="22">
        <v>3.1691517823046904E-2</v>
      </c>
      <c r="V57" s="1"/>
    </row>
    <row r="58" spans="14:22">
      <c r="N58" s="23" t="str">
        <v>30/12/2034</v>
      </c>
      <c r="O58" s="24">
        <v>2.1370545171266166E-2</v>
      </c>
      <c r="P58" s="24">
        <v>2.4104068264752657E-2</v>
      </c>
      <c r="Q58" s="24">
        <v>2.3270324666350577E-2</v>
      </c>
      <c r="R58" s="25">
        <v>3.2059117467439523E-2</v>
      </c>
      <c r="V58" s="1"/>
    </row>
    <row r="59" spans="14:22">
      <c r="N59" s="20" t="str">
        <v>30/03/2035</v>
      </c>
      <c r="O59" s="21">
        <v>2.1644339393714036E-2</v>
      </c>
      <c r="P59" s="21">
        <v>2.4246564988695263E-2</v>
      </c>
      <c r="Q59" s="21">
        <v>2.3403176075532047E-2</v>
      </c>
      <c r="R59" s="22">
        <v>3.2417586508587906E-2</v>
      </c>
      <c r="V59" s="1"/>
    </row>
    <row r="60" spans="14:22">
      <c r="N60" s="23" t="str">
        <v>30/06/2035</v>
      </c>
      <c r="O60" s="24">
        <v>2.19339035384046E-2</v>
      </c>
      <c r="P60" s="24">
        <v>2.4390424163053186E-2</v>
      </c>
      <c r="Q60" s="24">
        <v>2.3537269080575986E-2</v>
      </c>
      <c r="R60" s="25">
        <v>3.2796082307405577E-2</v>
      </c>
      <c r="V60" s="1"/>
    </row>
    <row r="61" spans="14:22">
      <c r="N61" s="20" t="str">
        <v>30/09/2035</v>
      </c>
      <c r="O61" s="21">
        <v>2.2357247154818651E-2</v>
      </c>
      <c r="P61" s="21">
        <v>2.4532580370354121E-2</v>
      </c>
      <c r="Q61" s="21">
        <v>2.3669746162437753E-2</v>
      </c>
      <c r="R61" s="22">
        <v>3.3324895375815101E-2</v>
      </c>
      <c r="V61" s="1"/>
    </row>
    <row r="62" spans="14:22">
      <c r="N62" s="23" t="str">
        <v>30/12/2035</v>
      </c>
      <c r="O62" s="24">
        <v>2.2767982295827428E-2</v>
      </c>
      <c r="P62" s="24">
        <v>2.4671627166033723E-2</v>
      </c>
      <c r="Q62" s="24">
        <v>2.3799297804811548E-2</v>
      </c>
      <c r="R62" s="25">
        <v>3.3841012321357278E-2</v>
      </c>
      <c r="V62" s="1"/>
    </row>
    <row r="63" spans="14:22">
      <c r="N63" s="20" t="str">
        <v>30/03/2036</v>
      </c>
      <c r="O63" s="21">
        <v>2.3171232957641903E-2</v>
      </c>
      <c r="P63" s="21">
        <v>2.4809220713536889E-2</v>
      </c>
      <c r="Q63" s="21">
        <v>2.3927468191039473E-2</v>
      </c>
      <c r="R63" s="22">
        <v>3.4350684778986409E-2</v>
      </c>
      <c r="V63" s="1"/>
    </row>
    <row r="64" spans="14:22">
      <c r="N64" s="23" t="str">
        <v>30/06/2036</v>
      </c>
      <c r="O64" s="24">
        <v>2.3571760126000083E-2</v>
      </c>
      <c r="P64" s="24">
        <v>2.4946946048048448E-2</v>
      </c>
      <c r="Q64" s="24">
        <v>2.4055733977735024E-2</v>
      </c>
      <c r="R64" s="25">
        <v>3.4859852374530841E-2</v>
      </c>
      <c r="V64" s="1"/>
    </row>
    <row r="65" spans="14:22">
      <c r="N65" s="20" t="str">
        <v>30/09/2036</v>
      </c>
      <c r="O65" s="21">
        <v>2.39655204267714E-2</v>
      </c>
      <c r="P65" s="21">
        <v>2.5083375026751221E-2</v>
      </c>
      <c r="Q65" s="21">
        <v>2.4182765262363175E-2</v>
      </c>
      <c r="R65" s="22">
        <v>3.5363339811191746E-2</v>
      </c>
      <c r="V65" s="1"/>
    </row>
    <row r="66" spans="14:22">
      <c r="N66" s="23" t="str">
        <v>30/12/2036</v>
      </c>
      <c r="O66" s="24">
        <v>2.4348736333140959E-2</v>
      </c>
      <c r="P66" s="24">
        <v>2.5217129829058327E-2</v>
      </c>
      <c r="Q66" s="24">
        <v>2.4307280139027158E-2</v>
      </c>
      <c r="R66" s="25">
        <v>3.5856188085551625E-2</v>
      </c>
      <c r="V66" s="1"/>
    </row>
    <row r="67" spans="14:22">
      <c r="N67" s="20" t="str">
        <v>30/03/2037</v>
      </c>
      <c r="O67" s="21">
        <v>2.4721969928113093E-2</v>
      </c>
      <c r="P67" s="21">
        <v>2.5309434513327175E-2</v>
      </c>
      <c r="Q67" s="21">
        <v>2.438962930308913E-2</v>
      </c>
      <c r="R67" s="22">
        <v>3.6338420876451907E-2</v>
      </c>
      <c r="V67" s="1"/>
    </row>
    <row r="68" spans="14:22">
      <c r="N68" s="23" t="str">
        <v>30/06/2037</v>
      </c>
      <c r="O68" s="24">
        <v>2.5092685495762542E-2</v>
      </c>
      <c r="P68" s="24">
        <v>2.5400759815069278E-2</v>
      </c>
      <c r="Q68" s="24">
        <v>2.4470797960184126E-2</v>
      </c>
      <c r="R68" s="25">
        <v>3.6821971215839529E-2</v>
      </c>
      <c r="V68" s="1"/>
    </row>
    <row r="69" spans="14:22">
      <c r="N69" s="20" t="str">
        <v>30/09/2037</v>
      </c>
      <c r="O69" s="21">
        <v>2.5456525989443132E-2</v>
      </c>
      <c r="P69" s="21">
        <v>2.5491945831420938E-2</v>
      </c>
      <c r="Q69" s="21">
        <v>2.4551906953207518E-2</v>
      </c>
      <c r="R69" s="22">
        <v>3.7299040785668411E-2</v>
      </c>
      <c r="V69" s="1"/>
    </row>
    <row r="70" spans="14:22">
      <c r="N70" s="23" t="str">
        <v>30/12/2037</v>
      </c>
      <c r="O70" s="24">
        <v>2.5811572713008407E-2</v>
      </c>
      <c r="P70" s="24">
        <v>2.5582025219561454E-2</v>
      </c>
      <c r="Q70" s="24">
        <v>2.4632091607370756E-2</v>
      </c>
      <c r="R70" s="25">
        <v>3.7767205414874251E-2</v>
      </c>
      <c r="V70" s="1"/>
    </row>
    <row r="71" spans="14:22">
      <c r="N71" s="20" t="str">
        <v>30/03/2038</v>
      </c>
      <c r="O71" s="21">
        <v>2.6158255332821054E-2</v>
      </c>
      <c r="P71" s="21">
        <v>2.5671021482724012E-2</v>
      </c>
      <c r="Q71" s="21">
        <v>2.471136795011954E-2</v>
      </c>
      <c r="R71" s="22">
        <v>3.8226861689341723E-2</v>
      </c>
      <c r="V71" s="1"/>
    </row>
    <row r="72" spans="14:22">
      <c r="N72" s="23" t="str">
        <v>30/06/2038</v>
      </c>
      <c r="O72" s="24">
        <v>2.6508317302667669E-2</v>
      </c>
      <c r="P72" s="24">
        <v>2.5761918721260199E-2</v>
      </c>
      <c r="Q72" s="24">
        <v>2.4792392263520049E-2</v>
      </c>
      <c r="R72" s="25">
        <v>3.8693495393255152E-2</v>
      </c>
      <c r="V72" s="1"/>
    </row>
    <row r="73" spans="14:22">
      <c r="N73" s="20" t="str">
        <v>30/09/2038</v>
      </c>
      <c r="O73" s="21">
        <v>2.685425763889528E-2</v>
      </c>
      <c r="P73" s="21">
        <v>2.5852756723838952E-2</v>
      </c>
      <c r="Q73" s="21">
        <v>2.4873416311117655E-2</v>
      </c>
      <c r="R73" s="22">
        <v>3.9157157550439768E-2</v>
      </c>
      <c r="V73" s="1"/>
    </row>
    <row r="74" spans="14:22">
      <c r="N74" s="23" t="str">
        <v>30/12/2038</v>
      </c>
      <c r="O74" s="24">
        <v>2.7192616416135115E-2</v>
      </c>
      <c r="P74" s="24">
        <v>2.5942566194456188E-2</v>
      </c>
      <c r="Q74" s="24">
        <v>2.4953572117229633E-2</v>
      </c>
      <c r="R74" s="25">
        <v>3.961311879592163E-2</v>
      </c>
      <c r="V74" s="1"/>
    </row>
    <row r="75" spans="14:22">
      <c r="N75" s="20" t="str">
        <v>30/03/2039</v>
      </c>
      <c r="O75" s="21">
        <v>2.7523732827087286E-2</v>
      </c>
      <c r="P75" s="21">
        <v>2.6031364213829528E-2</v>
      </c>
      <c r="Q75" s="21">
        <v>2.5032870971472495E-2</v>
      </c>
      <c r="R75" s="22">
        <v>4.0061684580501973E-2</v>
      </c>
      <c r="V75" s="1"/>
    </row>
    <row r="76" spans="14:22">
      <c r="N76" s="23" t="str">
        <v>30/06/2039</v>
      </c>
      <c r="O76" s="24">
        <v>2.7858229749126884E-2</v>
      </c>
      <c r="P76" s="24">
        <v>2.6122125629756375E-2</v>
      </c>
      <c r="Q76" s="24">
        <v>2.5113967972688191E-2</v>
      </c>
      <c r="R76" s="25">
        <v>4.0517288809770534E-2</v>
      </c>
      <c r="V76" s="1"/>
    </row>
    <row r="77" spans="14:22">
      <c r="N77" s="20" t="str">
        <v>30/09/2039</v>
      </c>
      <c r="O77" s="21">
        <v>2.8184317342062639E-2</v>
      </c>
      <c r="P77" s="21">
        <v>2.6212891798215468E-2</v>
      </c>
      <c r="Q77" s="21">
        <v>2.5195112305322023E-2</v>
      </c>
      <c r="R77" s="22">
        <v>4.0964906292308992E-2</v>
      </c>
      <c r="V77" s="1"/>
    </row>
    <row r="78" spans="14:22">
      <c r="N78" s="23" t="str">
        <v>30/12/2039</v>
      </c>
      <c r="O78" s="24">
        <v>2.8503908475568079E-2</v>
      </c>
      <c r="P78" s="24">
        <v>2.6302689889424524E-2</v>
      </c>
      <c r="Q78" s="24">
        <v>2.5275431506901529E-2</v>
      </c>
      <c r="R78" s="25">
        <v>4.1405890755293093E-2</v>
      </c>
      <c r="V78" s="1"/>
    </row>
    <row r="79" spans="14:22">
      <c r="N79" s="20" t="str">
        <v>30/03/2040</v>
      </c>
      <c r="O79" s="21">
        <v>2.8820734980389794E-2</v>
      </c>
      <c r="P79" s="21">
        <v>2.6392519425280422E-2</v>
      </c>
      <c r="Q79" s="21">
        <v>2.5355816989905314E-2</v>
      </c>
      <c r="R79" s="22">
        <v>4.1845279441193289E-2</v>
      </c>
      <c r="V79" s="1"/>
    </row>
    <row r="80" spans="14:22">
      <c r="N80" s="23" t="str">
        <v>30/06/2040</v>
      </c>
      <c r="O80" s="24">
        <v>2.9138397833636396E-2</v>
      </c>
      <c r="P80" s="24">
        <v>2.6483380673207598E-2</v>
      </c>
      <c r="Q80" s="24">
        <v>2.5437162617860481E-2</v>
      </c>
      <c r="R80" s="25">
        <v>4.2288034647000282E-2</v>
      </c>
      <c r="V80" s="1"/>
    </row>
    <row r="81" spans="14:22">
      <c r="N81" s="20" t="str">
        <v>30/09/2040</v>
      </c>
      <c r="O81" s="21">
        <v>2.9453559114498085E-2</v>
      </c>
      <c r="P81" s="21">
        <v>2.6574298861005596E-2</v>
      </c>
      <c r="Q81" s="21">
        <v>2.5518594506762367E-2</v>
      </c>
      <c r="R81" s="22">
        <v>4.2729509571451309E-2</v>
      </c>
      <c r="V81" s="1"/>
    </row>
    <row r="82" spans="14:22">
      <c r="N82" s="23" t="str">
        <v>30/12/2040</v>
      </c>
      <c r="O82" s="24">
        <v>2.9762981591665273E-2</v>
      </c>
      <c r="P82" s="24">
        <v>2.6664296194164796E-2</v>
      </c>
      <c r="Q82" s="24">
        <v>2.5599234625902991E-2</v>
      </c>
      <c r="R82" s="25">
        <v>4.3165103178497879E-2</v>
      </c>
      <c r="V82" s="1"/>
    </row>
    <row r="83" spans="14:22">
      <c r="N83" s="20" t="str">
        <v>30/03/2041</v>
      </c>
      <c r="O83" s="21">
        <v>3.0066877587473437E-2</v>
      </c>
      <c r="P83" s="21">
        <v>2.6753381005426326E-2</v>
      </c>
      <c r="Q83" s="21">
        <v>2.5679087800687572E-2</v>
      </c>
      <c r="R83" s="22">
        <v>4.3591767994614138E-2</v>
      </c>
      <c r="V83" s="1"/>
    </row>
    <row r="84" spans="14:22">
      <c r="N84" s="23" t="str">
        <v>30/06/2041</v>
      </c>
      <c r="O84" s="24">
        <v>3.0339060142821145E-2</v>
      </c>
      <c r="P84" s="24">
        <v>2.684453442454927E-2</v>
      </c>
      <c r="Q84" s="24">
        <v>2.5760825219028848E-2</v>
      </c>
      <c r="R84" s="25">
        <v>4.3991165449434551E-2</v>
      </c>
      <c r="V84" s="1"/>
    </row>
    <row r="85" spans="14:22">
      <c r="N85" s="20" t="str">
        <v>30/09/2041</v>
      </c>
      <c r="O85" s="21">
        <v>3.0562530450853057E-2</v>
      </c>
      <c r="P85" s="21">
        <v>2.6935787816317239E-2</v>
      </c>
      <c r="Q85" s="21">
        <v>2.5842681102885342E-2</v>
      </c>
      <c r="R85" s="22">
        <v>4.4331899311935867E-2</v>
      </c>
      <c r="V85" s="1"/>
    </row>
    <row r="86" spans="14:22">
      <c r="N86" s="23" t="str">
        <v>30/12/2041</v>
      </c>
      <c r="O86" s="24">
        <v>3.0782527450135138E-2</v>
      </c>
      <c r="P86" s="24">
        <v>2.7026157171986937E-2</v>
      </c>
      <c r="Q86" s="24">
        <v>2.5923770915446984E-2</v>
      </c>
      <c r="R86" s="25">
        <v>4.4668904937297339E-2</v>
      </c>
      <c r="V86" s="1"/>
    </row>
    <row r="87" spans="14:22">
      <c r="N87" s="20" t="str">
        <v>30/03/2042</v>
      </c>
      <c r="O87" s="21">
        <v>3.099915564253165E-2</v>
      </c>
      <c r="P87" s="21">
        <v>2.7057134508325496E-2</v>
      </c>
      <c r="Q87" s="21">
        <v>2.5944266871928037E-2</v>
      </c>
      <c r="R87" s="22">
        <v>4.5002256572109982E-2</v>
      </c>
      <c r="V87" s="1"/>
    </row>
    <row r="88" spans="14:22">
      <c r="N88" s="23" t="str">
        <v>30/06/2042</v>
      </c>
      <c r="O88" s="24">
        <v>3.1219688974184093E-2</v>
      </c>
      <c r="P88" s="24">
        <v>2.7084764768195282E-2</v>
      </c>
      <c r="Q88" s="24">
        <v>2.5961130804106447E-2</v>
      </c>
      <c r="R88" s="25">
        <v>4.5343100532913072E-2</v>
      </c>
      <c r="V88" s="1"/>
    </row>
    <row r="89" spans="14:22">
      <c r="N89" s="20" t="str">
        <v>30/09/2042</v>
      </c>
      <c r="O89" s="21">
        <v>3.1439370340576665E-2</v>
      </c>
      <c r="P89" s="21">
        <v>2.7113421688112774E-2</v>
      </c>
      <c r="Q89" s="21">
        <v>2.5979082006205956E-2</v>
      </c>
      <c r="R89" s="22">
        <v>4.5684139165571604E-2</v>
      </c>
      <c r="V89" s="1"/>
    </row>
    <row r="90" spans="14:22">
      <c r="N90" s="23" t="str">
        <v>30/12/2042</v>
      </c>
      <c r="O90" s="24">
        <v>3.1655888843131606E-2</v>
      </c>
      <c r="P90" s="24">
        <v>2.7142748729675283E-2</v>
      </c>
      <c r="Q90" s="24">
        <v>2.5997875881485416E-2</v>
      </c>
      <c r="R90" s="25">
        <v>4.6021749713321229E-2</v>
      </c>
      <c r="V90" s="1"/>
    </row>
    <row r="91" spans="14:22">
      <c r="N91" s="20" t="str">
        <v>30/03/2043</v>
      </c>
      <c r="O91" s="21">
        <v>3.1869328525753977E-2</v>
      </c>
      <c r="P91" s="21">
        <v>2.7172687489182622E-2</v>
      </c>
      <c r="Q91" s="21">
        <v>2.6017448992997433E-2</v>
      </c>
      <c r="R91" s="22">
        <v>4.6355985242034672E-2</v>
      </c>
      <c r="V91" s="1"/>
    </row>
    <row r="92" spans="14:22">
      <c r="N92" s="23" t="str">
        <v>30/06/2043</v>
      </c>
      <c r="O92" s="24">
        <v>3.2086850031390397E-2</v>
      </c>
      <c r="P92" s="24">
        <v>2.7204225916651403E-2</v>
      </c>
      <c r="Q92" s="24">
        <v>2.603844150150298E-2</v>
      </c>
      <c r="R92" s="25">
        <v>4.6698015850350383E-2</v>
      </c>
      <c r="V92" s="1"/>
    </row>
    <row r="93" spans="14:22">
      <c r="N93" s="20" t="str">
        <v>30/09/2043</v>
      </c>
      <c r="O93" s="21">
        <v>3.2303759102275814E-2</v>
      </c>
      <c r="P93" s="21">
        <v>2.7236684168987762E-2</v>
      </c>
      <c r="Q93" s="21">
        <v>2.6060401419066376E-2</v>
      </c>
      <c r="R93" s="22">
        <v>4.7040516596036558E-2</v>
      </c>
      <c r="V93" s="1"/>
    </row>
    <row r="94" spans="14:22">
      <c r="N94" s="23" t="str">
        <v>30/12/2043</v>
      </c>
      <c r="O94" s="24">
        <v>3.251776110872117E-2</v>
      </c>
      <c r="P94" s="24">
        <v>2.7269671153779224E-2</v>
      </c>
      <c r="Q94" s="24">
        <v>2.6083048117114118E-2</v>
      </c>
      <c r="R94" s="25">
        <v>4.737983289963453E-2</v>
      </c>
      <c r="V94" s="1"/>
    </row>
    <row r="95" spans="14:22">
      <c r="N95" s="20" t="str">
        <v>30/03/2044</v>
      </c>
      <c r="O95" s="21">
        <v>3.2731267274481071E-2</v>
      </c>
      <c r="P95" s="21">
        <v>2.7303512807842035E-2</v>
      </c>
      <c r="Q95" s="21">
        <v>2.6106590451511241E-2</v>
      </c>
      <c r="R95" s="22">
        <v>4.7719727265215763E-2</v>
      </c>
      <c r="V95" s="1"/>
    </row>
    <row r="96" spans="14:22">
      <c r="N96" s="23" t="str">
        <v>30/06/2044</v>
      </c>
      <c r="O96" s="24">
        <v>3.2946664924101067E-2</v>
      </c>
      <c r="P96" s="24">
        <v>2.7338573773451627E-2</v>
      </c>
      <c r="Q96" s="24">
        <v>2.6131277905223488E-2</v>
      </c>
      <c r="R96" s="25">
        <v>4.8063989271454534E-2</v>
      </c>
      <c r="V96" s="1"/>
    </row>
    <row r="97" spans="14:22">
      <c r="N97" s="20" t="str">
        <v>30/09/2044</v>
      </c>
      <c r="O97" s="21">
        <v>3.3161653160244491E-2</v>
      </c>
      <c r="P97" s="21">
        <v>2.7374466202579797E-2</v>
      </c>
      <c r="Q97" s="21">
        <v>2.6156833451110396E-2</v>
      </c>
      <c r="R97" s="22">
        <v>4.840896182433771E-2</v>
      </c>
      <c r="V97" s="1"/>
    </row>
    <row r="98" spans="14:22">
      <c r="N98" s="23" t="str">
        <v>30/12/2044</v>
      </c>
      <c r="O98" s="24">
        <v>3.3373947028159878E-2</v>
      </c>
      <c r="P98" s="24">
        <v>2.7410767112642915E-2</v>
      </c>
      <c r="Q98" s="24">
        <v>2.618294344201141E-2</v>
      </c>
      <c r="R98" s="25">
        <v>4.8750953588131654E-2</v>
      </c>
      <c r="V98" s="1"/>
    </row>
    <row r="99" spans="14:22">
      <c r="N99" s="20" t="str">
        <v>30/03/2045</v>
      </c>
      <c r="O99" s="21">
        <v>3.3583600509182007E-2</v>
      </c>
      <c r="P99" s="21">
        <v>2.7447432379786859E-2</v>
      </c>
      <c r="Q99" s="21">
        <v>2.6209560389551419E-2</v>
      </c>
      <c r="R99" s="22">
        <v>4.9089985961123364E-2</v>
      </c>
      <c r="V99" s="1"/>
    </row>
    <row r="100" spans="14:22">
      <c r="N100" s="23" t="str">
        <v>30/06/2045</v>
      </c>
      <c r="O100" s="24">
        <v>3.3797638725669307E-2</v>
      </c>
      <c r="P100" s="24">
        <v>2.7485679350111931E-2</v>
      </c>
      <c r="Q100" s="24">
        <v>2.6237564974688037E-2</v>
      </c>
      <c r="R100" s="25">
        <v>4.9437382102677438E-2</v>
      </c>
      <c r="V100" s="1"/>
    </row>
    <row r="101" spans="14:22">
      <c r="N101" s="20" t="str">
        <v>30/09/2045</v>
      </c>
      <c r="O101" s="21">
        <v>3.401144059230847E-2</v>
      </c>
      <c r="P101" s="21">
        <v>2.7524684575039579E-2</v>
      </c>
      <c r="Q101" s="21">
        <v>2.6266355187023874E-2</v>
      </c>
      <c r="R101" s="22">
        <v>4.9785700525807046E-2</v>
      </c>
      <c r="V101" s="1"/>
    </row>
    <row r="102" spans="14:22">
      <c r="N102" s="23" t="str">
        <v>30/12/2045</v>
      </c>
      <c r="O102" s="24">
        <v>3.4222724946866005E-2</v>
      </c>
      <c r="P102" s="24">
        <v>2.7563995627425484E-2</v>
      </c>
      <c r="Q102" s="24">
        <v>2.629558711833092E-2</v>
      </c>
      <c r="R102" s="25">
        <v>5.0131204072693669E-2</v>
      </c>
      <c r="V102" s="1"/>
    </row>
    <row r="103" spans="14:22">
      <c r="N103" s="20" t="str">
        <v>30/03/2046</v>
      </c>
      <c r="O103" s="21">
        <v>3.4431534612330492E-2</v>
      </c>
      <c r="P103" s="21">
        <v>2.7603573585918941E-2</v>
      </c>
      <c r="Q103" s="21">
        <v>2.6325219098655171E-2</v>
      </c>
      <c r="R103" s="22">
        <v>5.0473902107550407E-2</v>
      </c>
      <c r="V103" s="1"/>
    </row>
    <row r="104" spans="14:22">
      <c r="N104" s="23" t="str">
        <v>30/06/2046</v>
      </c>
      <c r="O104" s="24">
        <v>3.4644863546196114E-2</v>
      </c>
      <c r="P104" s="24">
        <v>2.764473467947736E-2</v>
      </c>
      <c r="Q104" s="24">
        <v>2.6356234285876717E-2</v>
      </c>
      <c r="R104" s="25">
        <v>5.0825238101560942E-2</v>
      </c>
      <c r="V104" s="1"/>
    </row>
    <row r="105" spans="14:22">
      <c r="N105" s="20" t="str">
        <v>30/09/2046</v>
      </c>
      <c r="O105" s="21">
        <v>3.485810568775681E-2</v>
      </c>
      <c r="P105" s="21">
        <v>2.76865928028199E-2</v>
      </c>
      <c r="Q105" s="21">
        <v>2.6387965957662223E-2</v>
      </c>
      <c r="R105" s="22">
        <v>5.1177686022332802E-2</v>
      </c>
      <c r="V105" s="1"/>
    </row>
    <row r="106" spans="14:22">
      <c r="N106" s="23" t="str">
        <v>30/12/2046</v>
      </c>
      <c r="O106" s="24">
        <v>3.5068978464599082E-2</v>
      </c>
      <c r="P106" s="24">
        <v>2.7728668105982714E-2</v>
      </c>
      <c r="Q106" s="24">
        <v>2.6420042237879301E-2</v>
      </c>
      <c r="R106" s="25">
        <v>5.1527455993716838E-2</v>
      </c>
      <c r="V106" s="1"/>
    </row>
    <row r="107" spans="14:22">
      <c r="N107" s="20" t="str">
        <v>30/03/2047</v>
      </c>
      <c r="O107" s="21">
        <v>3.5259807944554085E-2</v>
      </c>
      <c r="P107" s="21">
        <v>2.7728464987967751E-2</v>
      </c>
      <c r="Q107" s="21">
        <v>2.640731068550687E-2</v>
      </c>
      <c r="R107" s="22">
        <v>5.1852957283371172E-2</v>
      </c>
      <c r="V107" s="1"/>
    </row>
    <row r="108" spans="14:22">
      <c r="N108" s="23" t="str">
        <v>30/06/2047</v>
      </c>
      <c r="O108" s="24">
        <v>3.5292694020474351E-2</v>
      </c>
      <c r="P108" s="24">
        <v>2.7726840466582393E-2</v>
      </c>
      <c r="Q108" s="24">
        <v>2.6392790826601197E-2</v>
      </c>
      <c r="R108" s="25">
        <v>5.1988647082564399E-2</v>
      </c>
      <c r="V108" s="1"/>
    </row>
    <row r="109" spans="14:22">
      <c r="N109" s="20" t="str">
        <v>30/09/2047</v>
      </c>
      <c r="O109" s="21">
        <v>3.5326878729260568E-2</v>
      </c>
      <c r="P109" s="21">
        <v>2.7726349517077878E-2</v>
      </c>
      <c r="Q109" s="21">
        <v>2.6379474944949285E-2</v>
      </c>
      <c r="R109" s="22">
        <v>5.2126275430059835E-2</v>
      </c>
      <c r="V109" s="1"/>
    </row>
    <row r="110" spans="14:22">
      <c r="N110" s="23" t="str">
        <v>30/12/2047</v>
      </c>
      <c r="O110" s="24">
        <v>3.5361942099551007E-2</v>
      </c>
      <c r="P110" s="24">
        <v>2.7726951133012004E-2</v>
      </c>
      <c r="Q110" s="24">
        <v>2.636745728269849E-2</v>
      </c>
      <c r="R110" s="25">
        <v>5.226430119003253E-2</v>
      </c>
      <c r="V110" s="1"/>
    </row>
    <row r="111" spans="14:22">
      <c r="N111" s="20" t="str">
        <v>30/03/2048</v>
      </c>
      <c r="O111" s="21">
        <v>3.5398222900159766E-2</v>
      </c>
      <c r="P111" s="21">
        <v>2.7728607436825661E-2</v>
      </c>
      <c r="Q111" s="21">
        <v>2.6356557325859616E-2</v>
      </c>
      <c r="R111" s="22">
        <v>5.2404176045135004E-2</v>
      </c>
      <c r="V111" s="1"/>
    </row>
    <row r="112" spans="14:22">
      <c r="N112" s="23" t="str">
        <v>30/06/2048</v>
      </c>
      <c r="O112" s="24">
        <v>3.5436114608089049E-2</v>
      </c>
      <c r="P112" s="24">
        <v>2.7731328078444757E-2</v>
      </c>
      <c r="Q112" s="24">
        <v>2.6346644970889753E-2</v>
      </c>
      <c r="R112" s="25">
        <v>5.2547436777567652E-2</v>
      </c>
      <c r="V112" s="1"/>
    </row>
    <row r="113" spans="14:22">
      <c r="N113" s="20" t="str">
        <v>30/09/2048</v>
      </c>
      <c r="O113" s="21">
        <v>3.5475200579628975E-2</v>
      </c>
      <c r="P113" s="21">
        <v>2.7735075336556912E-2</v>
      </c>
      <c r="Q113" s="21">
        <v>2.633781807248679E-2</v>
      </c>
      <c r="R113" s="22">
        <v>5.2692548090846128E-2</v>
      </c>
      <c r="V113" s="1"/>
    </row>
    <row r="114" spans="14:22">
      <c r="N114" s="23" t="str">
        <v>30/12/2048</v>
      </c>
      <c r="O114" s="24">
        <v>3.5515013333588689E-2</v>
      </c>
      <c r="P114" s="24">
        <v>2.7739767914419712E-2</v>
      </c>
      <c r="Q114" s="24">
        <v>2.6330128453621725E-2</v>
      </c>
      <c r="R114" s="25">
        <v>5.2837894185049993E-2</v>
      </c>
      <c r="V114" s="1"/>
    </row>
    <row r="115" spans="14:22">
      <c r="N115" s="20" t="str">
        <v>30/03/2049</v>
      </c>
      <c r="O115" s="21">
        <v>3.5555493425101281E-2</v>
      </c>
      <c r="P115" s="21">
        <v>2.7745351152691274E-2</v>
      </c>
      <c r="Q115" s="21">
        <v>2.6323517205277744E-2</v>
      </c>
      <c r="R115" s="22">
        <v>5.2983394517392632E-2</v>
      </c>
      <c r="V115" s="1"/>
    </row>
    <row r="116" spans="14:22">
      <c r="N116" s="23" t="str">
        <v>30/06/2049</v>
      </c>
      <c r="O116" s="24">
        <v>3.559798727342469E-2</v>
      </c>
      <c r="P116" s="24">
        <v>2.7752004848947239E-2</v>
      </c>
      <c r="Q116" s="24">
        <v>2.6317756088692135E-2</v>
      </c>
      <c r="R116" s="25">
        <v>5.3133881255492919E-2</v>
      </c>
      <c r="V116" s="1"/>
    </row>
    <row r="117" spans="14:22">
      <c r="N117" s="20" t="str">
        <v>30/09/2049</v>
      </c>
      <c r="O117" s="21">
        <v>3.5641586648789469E-2</v>
      </c>
      <c r="P117" s="21">
        <v>2.7759593730295424E-2</v>
      </c>
      <c r="Q117" s="21">
        <v>2.6312979005242858E-2</v>
      </c>
      <c r="R117" s="22">
        <v>5.328614657716256E-2</v>
      </c>
      <c r="V117" s="1"/>
    </row>
    <row r="118" spans="14:22">
      <c r="N118" s="23" t="str">
        <v>30/12/2049</v>
      </c>
      <c r="O118" s="24">
        <v>3.5685779818654367E-2</v>
      </c>
      <c r="P118" s="24">
        <v>2.7767999567299886E-2</v>
      </c>
      <c r="Q118" s="24">
        <v>2.6309199082204377E-2</v>
      </c>
      <c r="R118" s="25">
        <v>5.3438501468535626E-2</v>
      </c>
      <c r="V118" s="1"/>
    </row>
    <row r="119" spans="14:22">
      <c r="N119" s="20" t="str">
        <v>30/03/2050</v>
      </c>
      <c r="O119" s="21">
        <v>3.573051321279893E-2</v>
      </c>
      <c r="P119" s="21">
        <v>2.777717363727597E-2</v>
      </c>
      <c r="Q119" s="21">
        <v>2.6306363971501871E-2</v>
      </c>
      <c r="R119" s="22">
        <v>5.3590870853279828E-2</v>
      </c>
      <c r="V119" s="1"/>
    </row>
    <row r="120" spans="14:22">
      <c r="N120" s="23" t="str">
        <v>30/06/2050</v>
      </c>
      <c r="O120" s="24">
        <v>3.5777276771877836E-2</v>
      </c>
      <c r="P120" s="24">
        <v>2.7787417106466296E-2</v>
      </c>
      <c r="Q120" s="24">
        <v>2.6304373136940212E-2</v>
      </c>
      <c r="R120" s="25">
        <v>5.3748318210678374E-2</v>
      </c>
      <c r="V120" s="1"/>
    </row>
    <row r="121" spans="14:22">
      <c r="N121" s="20" t="str">
        <v>30/09/2050</v>
      </c>
      <c r="O121" s="21">
        <v>3.5825069867039358E-2</v>
      </c>
      <c r="P121" s="21">
        <v>2.7798516968356519E-2</v>
      </c>
      <c r="Q121" s="21">
        <v>2.6303278828479413E-2</v>
      </c>
      <c r="R121" s="22">
        <v>5.3907485296232141E-2</v>
      </c>
      <c r="V121" s="1"/>
    </row>
    <row r="122" spans="14:22">
      <c r="N122" s="23" t="str">
        <v>31/12/2050</v>
      </c>
      <c r="O122" s="24">
        <v>3.5873875100712514E-2</v>
      </c>
      <c r="P122" s="24">
        <v>2.7810455103306458E-2</v>
      </c>
      <c r="Q122" s="24">
        <v>2.630306090558036E-2</v>
      </c>
      <c r="R122" s="25">
        <v>5.4068369857684956E-2</v>
      </c>
      <c r="V122" s="1"/>
    </row>
  </sheetData>
  <phoneticPr fontId="1" type="noConversion"/>
  <dataValidations count="2">
    <dataValidation type="list" allowBlank="1" showInputMessage="1" showErrorMessage="1" sqref="O3:R3" xr:uid="{F048E900-382F-477D-B317-B4544D02416E}">
      <formula1>"zero,df,fwd,swaprate"</formula1>
    </dataValidation>
    <dataValidation type="list" allowBlank="1" showInputMessage="1" showErrorMessage="1" sqref="S3 O2:R2" xr:uid="{229DE78D-10AA-4872-BA70-E71683A03D0D}">
      <formula1>$B$10:$B$28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EDF71-AA5F-46AD-AF32-CE792B23A995}">
  <sheetPr codeName="Sheet3"/>
  <dimension ref="A2:H122"/>
  <sheetViews>
    <sheetView workbookViewId="0">
      <selection activeCell="H24" sqref="H24"/>
    </sheetView>
  </sheetViews>
  <sheetFormatPr defaultRowHeight="15"/>
  <cols>
    <col min="1" max="1" width="15.7109375" customWidth="1"/>
    <col min="2" max="2" width="11.42578125" bestFit="1" customWidth="1"/>
    <col min="5" max="5" width="11" bestFit="1" customWidth="1"/>
    <col min="7" max="7" width="11.85546875" bestFit="1" customWidth="1"/>
    <col min="8" max="8" width="28.85546875" customWidth="1"/>
  </cols>
  <sheetData>
    <row r="2" spans="1:8">
      <c r="A2" s="6" t="s">
        <v>1</v>
      </c>
      <c r="B2" s="7">
        <v>44561</v>
      </c>
      <c r="D2" s="6" t="s">
        <v>34</v>
      </c>
      <c r="E2" s="26" t="s">
        <v>0</v>
      </c>
      <c r="G2" s="6" t="s">
        <v>45</v>
      </c>
      <c r="H2" s="15" t="s">
        <v>67</v>
      </c>
    </row>
    <row r="3" spans="1:8">
      <c r="A3" s="6" t="s">
        <v>2</v>
      </c>
      <c r="B3" s="8" t="str">
        <f>MarketHandle</f>
        <v>baseMarket</v>
      </c>
      <c r="D3" s="6" t="s">
        <v>35</v>
      </c>
      <c r="E3" s="27">
        <v>55153</v>
      </c>
      <c r="G3" s="6" t="s">
        <v>41</v>
      </c>
      <c r="H3" s="16" t="s">
        <v>70</v>
      </c>
    </row>
    <row r="4" spans="1:8">
      <c r="D4" s="6" t="s">
        <v>37</v>
      </c>
      <c r="E4" s="15" t="s">
        <v>38</v>
      </c>
      <c r="G4" s="6" t="s">
        <v>43</v>
      </c>
      <c r="H4" s="15" t="s">
        <v>38</v>
      </c>
    </row>
    <row r="5" spans="1:8">
      <c r="D5" s="6" t="s">
        <v>40</v>
      </c>
      <c r="E5" s="16" t="s">
        <v>44</v>
      </c>
      <c r="G5" s="17"/>
      <c r="H5" s="1">
        <v>1</v>
      </c>
    </row>
    <row r="6" spans="1:8">
      <c r="D6" s="6" t="s">
        <v>36</v>
      </c>
      <c r="E6" s="15" t="s">
        <v>39</v>
      </c>
      <c r="G6" s="6" t="str">
        <f t="array" ref="G6:G122">ScheduleCreate(E2,E3,E4,E5,E6)</f>
        <v>Dates</v>
      </c>
      <c r="H6" t="str">
        <f t="array" ref="H6:H122">marketChartPoints(MarketHandle,H2,H3,G7:G122,H4)</f>
        <v>USDCreditSwap.SurvivalProb</v>
      </c>
    </row>
    <row r="7" spans="1:8">
      <c r="G7" t="str">
        <v>30/03/2022</v>
      </c>
      <c r="H7" s="34">
        <v>0.98064966920902608</v>
      </c>
    </row>
    <row r="8" spans="1:8">
      <c r="G8" t="str">
        <v>30/06/2022</v>
      </c>
      <c r="H8" s="34">
        <v>0.96064708007678346</v>
      </c>
    </row>
    <row r="9" spans="1:8">
      <c r="G9" t="str">
        <v>30/09/2022</v>
      </c>
      <c r="H9" s="34">
        <v>0.94064449094454072</v>
      </c>
    </row>
    <row r="10" spans="1:8">
      <c r="G10" t="str">
        <v>30/12/2022</v>
      </c>
      <c r="H10" s="34">
        <v>0.92085932125938763</v>
      </c>
    </row>
    <row r="11" spans="1:8">
      <c r="G11" t="str">
        <v>30/03/2023</v>
      </c>
      <c r="H11" s="34">
        <v>0.90548926341899416</v>
      </c>
    </row>
    <row r="12" spans="1:8">
      <c r="G12" t="str">
        <v>30/06/2023</v>
      </c>
      <c r="H12" s="34">
        <v>0.89003005899952381</v>
      </c>
    </row>
    <row r="13" spans="1:8">
      <c r="G13" t="str">
        <v>30/09/2023</v>
      </c>
      <c r="H13" s="34">
        <v>0.87457085458005346</v>
      </c>
    </row>
    <row r="14" spans="1:8">
      <c r="G14" t="str">
        <v>30/12/2023</v>
      </c>
      <c r="H14" s="34">
        <v>0.85927968499122953</v>
      </c>
    </row>
    <row r="15" spans="1:8">
      <c r="G15" t="str">
        <v>30/03/2024</v>
      </c>
      <c r="H15" s="34">
        <v>0.8439885154024056</v>
      </c>
    </row>
    <row r="16" spans="1:8">
      <c r="G16" t="str">
        <v>30/06/2024</v>
      </c>
      <c r="H16" s="34">
        <v>0.82852931098293525</v>
      </c>
    </row>
    <row r="17" spans="7:8">
      <c r="G17" t="str">
        <v>30/09/2024</v>
      </c>
      <c r="H17" s="34">
        <v>0.8130701065634649</v>
      </c>
    </row>
    <row r="18" spans="7:8">
      <c r="G18" t="str">
        <v>30/12/2024</v>
      </c>
      <c r="H18" s="34">
        <v>0.79777893697464097</v>
      </c>
    </row>
    <row r="19" spans="7:8">
      <c r="G19" t="str">
        <v>30/03/2025</v>
      </c>
      <c r="H19" s="34">
        <v>0.78034930164722471</v>
      </c>
    </row>
    <row r="20" spans="7:8">
      <c r="G20" t="str">
        <v>30/06/2025</v>
      </c>
      <c r="H20" s="34">
        <v>0.76233349418715235</v>
      </c>
    </row>
    <row r="21" spans="7:8">
      <c r="G21" t="str">
        <v>30/09/2025</v>
      </c>
      <c r="H21" s="34">
        <v>0.7443176867270801</v>
      </c>
    </row>
    <row r="22" spans="7:8">
      <c r="G22" t="str">
        <v>30/12/2025</v>
      </c>
      <c r="H22" s="34">
        <v>0.72649770326113894</v>
      </c>
    </row>
    <row r="23" spans="7:8">
      <c r="G23" t="str">
        <v>30/03/2026</v>
      </c>
      <c r="H23" s="34">
        <v>0.7088735437893291</v>
      </c>
    </row>
    <row r="24" spans="7:8">
      <c r="G24" t="str">
        <v>30/06/2026</v>
      </c>
      <c r="H24" s="34">
        <v>0.69085773632925684</v>
      </c>
    </row>
    <row r="25" spans="7:8">
      <c r="G25" t="str">
        <v>30/09/2026</v>
      </c>
      <c r="H25" s="34">
        <v>0.67284192886918448</v>
      </c>
    </row>
    <row r="26" spans="7:8">
      <c r="G26" t="str">
        <v>30/12/2026</v>
      </c>
      <c r="H26" s="34">
        <v>0.65502194540324343</v>
      </c>
    </row>
    <row r="27" spans="7:8">
      <c r="G27" t="str">
        <v>30/03/2027</v>
      </c>
      <c r="H27" s="34">
        <v>0.64181827645356226</v>
      </c>
    </row>
    <row r="28" spans="7:8">
      <c r="G28" t="str">
        <v>30/06/2027</v>
      </c>
      <c r="H28" s="34">
        <v>0.62858699991155875</v>
      </c>
    </row>
    <row r="29" spans="7:8">
      <c r="G29" t="str">
        <v>30/09/2027</v>
      </c>
      <c r="H29" s="34">
        <v>0.61535572336955513</v>
      </c>
    </row>
    <row r="30" spans="7:8">
      <c r="G30" t="str">
        <v>30/12/2027</v>
      </c>
      <c r="H30" s="34">
        <v>0.6022682650508342</v>
      </c>
    </row>
    <row r="31" spans="7:8">
      <c r="G31" t="str">
        <v>30/03/2028</v>
      </c>
      <c r="H31" s="34">
        <v>0.59061038202700045</v>
      </c>
    </row>
    <row r="32" spans="7:8">
      <c r="G32" t="str">
        <v>30/06/2028</v>
      </c>
      <c r="H32" s="34">
        <v>0.57890841859115516</v>
      </c>
    </row>
    <row r="33" spans="7:8">
      <c r="G33" t="str">
        <v>30/09/2028</v>
      </c>
      <c r="H33" s="34">
        <v>0.56720645515530987</v>
      </c>
    </row>
    <row r="34" spans="7:8">
      <c r="G34" t="str">
        <v>30/12/2028</v>
      </c>
      <c r="H34" s="34">
        <v>0.55563168697420207</v>
      </c>
    </row>
    <row r="35" spans="7:8">
      <c r="G35" t="str">
        <v>30/03/2029</v>
      </c>
      <c r="H35" s="34">
        <v>0.54418411404783174</v>
      </c>
    </row>
    <row r="36" spans="7:8">
      <c r="G36" t="str">
        <v>30/06/2029</v>
      </c>
      <c r="H36" s="34">
        <v>0.53248215061198645</v>
      </c>
    </row>
    <row r="37" spans="7:8">
      <c r="G37" t="str">
        <v>30/09/2029</v>
      </c>
      <c r="H37" s="34">
        <v>0.52078018717614127</v>
      </c>
    </row>
    <row r="38" spans="7:8">
      <c r="G38" t="str">
        <v>30/12/2029</v>
      </c>
      <c r="H38" s="34">
        <v>0.50920541899503347</v>
      </c>
    </row>
    <row r="39" spans="7:8">
      <c r="G39" t="str">
        <v>30/03/2030</v>
      </c>
      <c r="H39" s="34">
        <v>0.5041920892773325</v>
      </c>
    </row>
    <row r="40" spans="7:8">
      <c r="G40" t="str">
        <v>30/06/2030</v>
      </c>
      <c r="H40" s="34">
        <v>0.49945424790263532</v>
      </c>
    </row>
    <row r="41" spans="7:8">
      <c r="G41" t="str">
        <v>30/09/2030</v>
      </c>
      <c r="H41" s="34">
        <v>0.49471640652793814</v>
      </c>
    </row>
    <row r="42" spans="7:8">
      <c r="G42" t="str">
        <v>30/12/2030</v>
      </c>
      <c r="H42" s="34">
        <v>0.49003006342905286</v>
      </c>
    </row>
    <row r="43" spans="7:8">
      <c r="G43" t="str">
        <v>30/03/2031</v>
      </c>
      <c r="H43" s="34">
        <v>0.47977995989266681</v>
      </c>
    </row>
    <row r="44" spans="7:8">
      <c r="G44" t="str">
        <v>30/06/2031</v>
      </c>
      <c r="H44" s="34">
        <v>0.46881797632971939</v>
      </c>
    </row>
    <row r="45" spans="7:8">
      <c r="G45" t="str">
        <v>30/09/2031</v>
      </c>
      <c r="H45" s="34">
        <v>0.45785599276677197</v>
      </c>
    </row>
    <row r="46" spans="7:8">
      <c r="G46" t="str">
        <v>30/12/2031</v>
      </c>
      <c r="H46" s="34">
        <v>0.44701316119907397</v>
      </c>
    </row>
    <row r="47" spans="7:8">
      <c r="G47" t="str">
        <v>30/03/2032</v>
      </c>
      <c r="H47" s="34">
        <v>0.43617032963137603</v>
      </c>
    </row>
    <row r="48" spans="7:8">
      <c r="G48" t="str">
        <v>30/06/2032</v>
      </c>
      <c r="H48" s="34">
        <v>0.42520834606842861</v>
      </c>
    </row>
    <row r="49" spans="7:8">
      <c r="G49" t="str">
        <v>30/09/2032</v>
      </c>
      <c r="H49" s="34">
        <v>0.41424636250548119</v>
      </c>
    </row>
    <row r="50" spans="7:8">
      <c r="G50" t="str">
        <v>30/12/2032</v>
      </c>
      <c r="H50" s="34">
        <v>0.40340353093778319</v>
      </c>
    </row>
    <row r="51" spans="7:8">
      <c r="G51" t="str">
        <v>30/03/2033</v>
      </c>
      <c r="H51" s="34">
        <v>0.39267985136533462</v>
      </c>
    </row>
    <row r="52" spans="7:8">
      <c r="G52" t="str">
        <v>30/06/2033</v>
      </c>
      <c r="H52" s="34">
        <v>0.3817178678023872</v>
      </c>
    </row>
    <row r="53" spans="7:8">
      <c r="G53" t="str">
        <v>30/09/2033</v>
      </c>
      <c r="H53" s="34">
        <v>0.37075588423943984</v>
      </c>
    </row>
    <row r="54" spans="7:8">
      <c r="G54" t="str">
        <v>30/12/2033</v>
      </c>
      <c r="H54" s="34">
        <v>0.35991305267174178</v>
      </c>
    </row>
    <row r="55" spans="7:8">
      <c r="G55" t="str">
        <v>30/03/2034</v>
      </c>
      <c r="H55" s="34">
        <v>0.35931729269549467</v>
      </c>
    </row>
    <row r="56" spans="7:8">
      <c r="G56" t="str">
        <v>30/06/2034</v>
      </c>
      <c r="H56" s="34">
        <v>0.35931729269549467</v>
      </c>
    </row>
    <row r="57" spans="7:8">
      <c r="G57" t="str">
        <v>30/09/2034</v>
      </c>
      <c r="H57" s="34">
        <v>0.35931729269549467</v>
      </c>
    </row>
    <row r="58" spans="7:8">
      <c r="G58" t="str">
        <v>30/12/2034</v>
      </c>
      <c r="H58" s="34">
        <v>0.35931729269549467</v>
      </c>
    </row>
    <row r="59" spans="7:8">
      <c r="G59" t="str">
        <v>30/03/2035</v>
      </c>
      <c r="H59" s="34">
        <v>0.35931729269549467</v>
      </c>
    </row>
    <row r="60" spans="7:8">
      <c r="G60" t="str">
        <v>30/06/2035</v>
      </c>
      <c r="H60" s="34">
        <v>0.35931729269549467</v>
      </c>
    </row>
    <row r="61" spans="7:8">
      <c r="G61" t="str">
        <v>30/09/2035</v>
      </c>
      <c r="H61" s="34">
        <v>0.35931729269549467</v>
      </c>
    </row>
    <row r="62" spans="7:8">
      <c r="G62" t="str">
        <v>30/12/2035</v>
      </c>
      <c r="H62" s="34">
        <v>0.35931729269549467</v>
      </c>
    </row>
    <row r="63" spans="7:8">
      <c r="G63" t="str">
        <v>30/03/2036</v>
      </c>
      <c r="H63" s="34">
        <v>0.35931729269549467</v>
      </c>
    </row>
    <row r="64" spans="7:8">
      <c r="G64" t="str">
        <v>30/06/2036</v>
      </c>
      <c r="H64" s="34">
        <v>0.35931729269549467</v>
      </c>
    </row>
    <row r="65" spans="7:8">
      <c r="G65" t="str">
        <v>30/09/2036</v>
      </c>
      <c r="H65" s="34">
        <v>0.35931729269549467</v>
      </c>
    </row>
    <row r="66" spans="7:8">
      <c r="G66" t="str">
        <v>30/12/2036</v>
      </c>
      <c r="H66" s="34">
        <v>0.35931729269549467</v>
      </c>
    </row>
    <row r="67" spans="7:8">
      <c r="G67" t="str">
        <v>30/03/2037</v>
      </c>
      <c r="H67" s="34">
        <v>0.35931729269549467</v>
      </c>
    </row>
    <row r="68" spans="7:8">
      <c r="G68" t="str">
        <v>30/06/2037</v>
      </c>
      <c r="H68" s="34">
        <v>0.35931729269549467</v>
      </c>
    </row>
    <row r="69" spans="7:8">
      <c r="G69" t="str">
        <v>30/09/2037</v>
      </c>
      <c r="H69" s="34">
        <v>0.35931729269549467</v>
      </c>
    </row>
    <row r="70" spans="7:8">
      <c r="G70" t="str">
        <v>30/12/2037</v>
      </c>
      <c r="H70" s="34">
        <v>0.35931729269549467</v>
      </c>
    </row>
    <row r="71" spans="7:8">
      <c r="G71" t="str">
        <v>30/03/2038</v>
      </c>
      <c r="H71" s="34">
        <v>0.35931729269549467</v>
      </c>
    </row>
    <row r="72" spans="7:8">
      <c r="G72" t="str">
        <v>30/06/2038</v>
      </c>
      <c r="H72" s="34">
        <v>0.35931729269549467</v>
      </c>
    </row>
    <row r="73" spans="7:8">
      <c r="G73" t="str">
        <v>30/09/2038</v>
      </c>
      <c r="H73" s="34">
        <v>0.35931729269549467</v>
      </c>
    </row>
    <row r="74" spans="7:8">
      <c r="G74" t="str">
        <v>30/12/2038</v>
      </c>
      <c r="H74" s="34">
        <v>0.35931729269549467</v>
      </c>
    </row>
    <row r="75" spans="7:8">
      <c r="G75" t="str">
        <v>30/03/2039</v>
      </c>
      <c r="H75" s="34">
        <v>0.35931729269549467</v>
      </c>
    </row>
    <row r="76" spans="7:8">
      <c r="G76" t="str">
        <v>30/06/2039</v>
      </c>
      <c r="H76" s="34">
        <v>0.35931729269549467</v>
      </c>
    </row>
    <row r="77" spans="7:8">
      <c r="G77" t="str">
        <v>30/09/2039</v>
      </c>
      <c r="H77" s="34">
        <v>0.35931729269549467</v>
      </c>
    </row>
    <row r="78" spans="7:8">
      <c r="G78" t="str">
        <v>30/12/2039</v>
      </c>
      <c r="H78" s="34">
        <v>0.35931729269549467</v>
      </c>
    </row>
    <row r="79" spans="7:8">
      <c r="G79" t="str">
        <v>30/03/2040</v>
      </c>
      <c r="H79" s="34">
        <v>0.35931729269549467</v>
      </c>
    </row>
    <row r="80" spans="7:8">
      <c r="G80" t="str">
        <v>30/06/2040</v>
      </c>
      <c r="H80" s="34">
        <v>0.35931729269549467</v>
      </c>
    </row>
    <row r="81" spans="7:8">
      <c r="G81" t="str">
        <v>30/09/2040</v>
      </c>
      <c r="H81" s="34">
        <v>0.35931729269549467</v>
      </c>
    </row>
    <row r="82" spans="7:8">
      <c r="G82" t="str">
        <v>30/12/2040</v>
      </c>
      <c r="H82" s="34">
        <v>0.35931729269549467</v>
      </c>
    </row>
    <row r="83" spans="7:8">
      <c r="G83" t="str">
        <v>30/03/2041</v>
      </c>
      <c r="H83" s="34">
        <v>0.35931729269549467</v>
      </c>
    </row>
    <row r="84" spans="7:8">
      <c r="G84" t="str">
        <v>30/06/2041</v>
      </c>
      <c r="H84" s="34">
        <v>0.35931729269549467</v>
      </c>
    </row>
    <row r="85" spans="7:8">
      <c r="G85" t="str">
        <v>30/09/2041</v>
      </c>
      <c r="H85" s="34">
        <v>0.35931729269549467</v>
      </c>
    </row>
    <row r="86" spans="7:8">
      <c r="G86" t="str">
        <v>30/12/2041</v>
      </c>
      <c r="H86" s="34">
        <v>0.35931729269549467</v>
      </c>
    </row>
    <row r="87" spans="7:8">
      <c r="G87" t="str">
        <v>30/03/2042</v>
      </c>
      <c r="H87" s="34">
        <v>0.35931729269549467</v>
      </c>
    </row>
    <row r="88" spans="7:8">
      <c r="G88" t="str">
        <v>30/06/2042</v>
      </c>
      <c r="H88" s="34">
        <v>0.35931729269549467</v>
      </c>
    </row>
    <row r="89" spans="7:8">
      <c r="G89" t="str">
        <v>30/09/2042</v>
      </c>
      <c r="H89" s="34">
        <v>0.35931729269549467</v>
      </c>
    </row>
    <row r="90" spans="7:8">
      <c r="G90" t="str">
        <v>30/12/2042</v>
      </c>
      <c r="H90" s="34">
        <v>0.35931729269549467</v>
      </c>
    </row>
    <row r="91" spans="7:8">
      <c r="G91" t="str">
        <v>30/03/2043</v>
      </c>
      <c r="H91" s="34">
        <v>0.35931729269549467</v>
      </c>
    </row>
    <row r="92" spans="7:8">
      <c r="G92" t="str">
        <v>30/06/2043</v>
      </c>
      <c r="H92" s="34">
        <v>0.35931729269549467</v>
      </c>
    </row>
    <row r="93" spans="7:8">
      <c r="G93" t="str">
        <v>30/09/2043</v>
      </c>
      <c r="H93" s="34">
        <v>0.35931729269549467</v>
      </c>
    </row>
    <row r="94" spans="7:8">
      <c r="G94" t="str">
        <v>30/12/2043</v>
      </c>
      <c r="H94" s="34">
        <v>0.35931729269549467</v>
      </c>
    </row>
    <row r="95" spans="7:8">
      <c r="G95" t="str">
        <v>30/03/2044</v>
      </c>
      <c r="H95" s="34">
        <v>0.35931729269549467</v>
      </c>
    </row>
    <row r="96" spans="7:8">
      <c r="G96" t="str">
        <v>30/06/2044</v>
      </c>
      <c r="H96" s="34">
        <v>0.35931729269549467</v>
      </c>
    </row>
    <row r="97" spans="7:8">
      <c r="G97" t="str">
        <v>30/09/2044</v>
      </c>
      <c r="H97" s="34">
        <v>0.35931729269549467</v>
      </c>
    </row>
    <row r="98" spans="7:8">
      <c r="G98" t="str">
        <v>30/12/2044</v>
      </c>
      <c r="H98" s="34">
        <v>0.35931729269549467</v>
      </c>
    </row>
    <row r="99" spans="7:8">
      <c r="G99" t="str">
        <v>30/03/2045</v>
      </c>
      <c r="H99" s="34">
        <v>0.35931729269549467</v>
      </c>
    </row>
    <row r="100" spans="7:8">
      <c r="G100" t="str">
        <v>30/06/2045</v>
      </c>
      <c r="H100" s="34">
        <v>0.35931729269549467</v>
      </c>
    </row>
    <row r="101" spans="7:8">
      <c r="G101" t="str">
        <v>30/09/2045</v>
      </c>
      <c r="H101" s="34">
        <v>0.35931729269549467</v>
      </c>
    </row>
    <row r="102" spans="7:8">
      <c r="G102" t="str">
        <v>30/12/2045</v>
      </c>
      <c r="H102" s="34">
        <v>0.35931729269549467</v>
      </c>
    </row>
    <row r="103" spans="7:8">
      <c r="G103" t="str">
        <v>30/03/2046</v>
      </c>
      <c r="H103" s="34">
        <v>0.35931729269549467</v>
      </c>
    </row>
    <row r="104" spans="7:8">
      <c r="G104" t="str">
        <v>30/06/2046</v>
      </c>
      <c r="H104" s="34">
        <v>0.35931729269549467</v>
      </c>
    </row>
    <row r="105" spans="7:8">
      <c r="G105" t="str">
        <v>30/09/2046</v>
      </c>
      <c r="H105" s="34">
        <v>0.35931729269549467</v>
      </c>
    </row>
    <row r="106" spans="7:8">
      <c r="G106" t="str">
        <v>30/12/2046</v>
      </c>
      <c r="H106" s="34">
        <v>0.35931729269549467</v>
      </c>
    </row>
    <row r="107" spans="7:8">
      <c r="G107" t="str">
        <v>30/03/2047</v>
      </c>
      <c r="H107" s="34">
        <v>0.35931729269549467</v>
      </c>
    </row>
    <row r="108" spans="7:8">
      <c r="G108" t="str">
        <v>30/06/2047</v>
      </c>
      <c r="H108" s="34">
        <v>0.35931729269549467</v>
      </c>
    </row>
    <row r="109" spans="7:8">
      <c r="G109" t="str">
        <v>30/09/2047</v>
      </c>
      <c r="H109" s="34">
        <v>0.35931729269549467</v>
      </c>
    </row>
    <row r="110" spans="7:8">
      <c r="G110" t="str">
        <v>30/12/2047</v>
      </c>
      <c r="H110" s="34">
        <v>0.35931729269549467</v>
      </c>
    </row>
    <row r="111" spans="7:8">
      <c r="G111" t="str">
        <v>30/03/2048</v>
      </c>
      <c r="H111" s="34">
        <v>0.35931729269549467</v>
      </c>
    </row>
    <row r="112" spans="7:8">
      <c r="G112" t="str">
        <v>30/06/2048</v>
      </c>
      <c r="H112" s="34">
        <v>0.35931729269549467</v>
      </c>
    </row>
    <row r="113" spans="7:8">
      <c r="G113" t="str">
        <v>30/09/2048</v>
      </c>
      <c r="H113" s="34">
        <v>0.35931729269549467</v>
      </c>
    </row>
    <row r="114" spans="7:8">
      <c r="G114" t="str">
        <v>30/12/2048</v>
      </c>
      <c r="H114" s="34">
        <v>0.35931729269549467</v>
      </c>
    </row>
    <row r="115" spans="7:8">
      <c r="G115" t="str">
        <v>30/03/2049</v>
      </c>
      <c r="H115" s="34">
        <v>0.35931729269549467</v>
      </c>
    </row>
    <row r="116" spans="7:8">
      <c r="G116" t="str">
        <v>30/06/2049</v>
      </c>
      <c r="H116" s="34">
        <v>0.35931729269549467</v>
      </c>
    </row>
    <row r="117" spans="7:8">
      <c r="G117" t="str">
        <v>30/09/2049</v>
      </c>
      <c r="H117" s="34">
        <v>0.35931729269549467</v>
      </c>
    </row>
    <row r="118" spans="7:8">
      <c r="G118" t="str">
        <v>30/12/2049</v>
      </c>
      <c r="H118" s="34">
        <v>0.35931729269549467</v>
      </c>
    </row>
    <row r="119" spans="7:8">
      <c r="G119" t="str">
        <v>30/03/2050</v>
      </c>
      <c r="H119" s="34">
        <v>0.35931729269549467</v>
      </c>
    </row>
    <row r="120" spans="7:8">
      <c r="G120" t="str">
        <v>30/06/2050</v>
      </c>
      <c r="H120" s="34">
        <v>0.35931729269549467</v>
      </c>
    </row>
    <row r="121" spans="7:8">
      <c r="G121" t="str">
        <v>30/09/2050</v>
      </c>
      <c r="H121" s="34">
        <v>0.35931729269549467</v>
      </c>
    </row>
    <row r="122" spans="7:8">
      <c r="G122" t="str">
        <v>31/12/2050</v>
      </c>
      <c r="H122" s="34">
        <v>0.35931729269549467</v>
      </c>
    </row>
  </sheetData>
  <dataValidations count="2">
    <dataValidation type="list" allowBlank="1" showInputMessage="1" showErrorMessage="1" sqref="H2" xr:uid="{25EF031A-E410-4F0E-AED4-410230E1763B}">
      <formula1>$B$10:$B$28</formula1>
    </dataValidation>
    <dataValidation type="list" allowBlank="1" showInputMessage="1" showErrorMessage="1" sqref="H3" xr:uid="{E26BB0FB-7B5A-49CF-A561-C587047B1977}">
      <formula1>"Hazard,SurvivalProb"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30FCA-EA15-48CD-BB55-7065C6674A8F}">
  <sheetPr codeName="Sheet2"/>
  <dimension ref="A2:X39"/>
  <sheetViews>
    <sheetView tabSelected="1" workbookViewId="0">
      <selection activeCell="S26" sqref="S26"/>
    </sheetView>
  </sheetViews>
  <sheetFormatPr defaultRowHeight="15"/>
  <cols>
    <col min="1" max="1" width="15.140625" customWidth="1"/>
    <col min="2" max="2" width="15.5703125" customWidth="1"/>
    <col min="4" max="4" width="12.5703125" bestFit="1" customWidth="1"/>
    <col min="5" max="5" width="40.140625" style="4" customWidth="1"/>
    <col min="18" max="18" width="9.5703125" bestFit="1" customWidth="1"/>
    <col min="22" max="22" width="11.85546875" bestFit="1" customWidth="1"/>
    <col min="23" max="23" width="20" bestFit="1" customWidth="1"/>
    <col min="24" max="24" width="13.85546875" bestFit="1" customWidth="1"/>
  </cols>
  <sheetData>
    <row r="2" spans="1:5">
      <c r="A2" s="6" t="s">
        <v>46</v>
      </c>
      <c r="B2" s="8" t="str">
        <f>MarketHandle</f>
        <v>baseMarket</v>
      </c>
      <c r="D2" s="6" t="str">
        <f t="array" ref="D2:E22">marketDv01AtEachpillar(B2,B3,B4,B5,B6)</f>
        <v>Pillar</v>
      </c>
      <c r="E2" s="6" t="str">
        <v>Delta</v>
      </c>
    </row>
    <row r="3" spans="1:5">
      <c r="A3" s="6" t="s">
        <v>51</v>
      </c>
      <c r="B3" s="15" t="s">
        <v>10</v>
      </c>
      <c r="D3" s="30" t="str">
        <v>AUDBILL1M</v>
      </c>
      <c r="E3" s="31">
        <v>-9.5888164809439331</v>
      </c>
    </row>
    <row r="4" spans="1:5">
      <c r="A4" s="6" t="s">
        <v>48</v>
      </c>
      <c r="B4" s="16" t="s">
        <v>47</v>
      </c>
      <c r="D4" s="32" t="str">
        <v>AUDBILL2M</v>
      </c>
      <c r="E4" s="33">
        <v>-17.259275931399316</v>
      </c>
    </row>
    <row r="5" spans="1:5">
      <c r="A5" s="6" t="s">
        <v>49</v>
      </c>
      <c r="B5" s="28">
        <v>1E-4</v>
      </c>
      <c r="D5" s="30" t="str">
        <v>AUDBILL3M</v>
      </c>
      <c r="E5" s="31">
        <v>-25.748612891416997</v>
      </c>
    </row>
    <row r="6" spans="1:5">
      <c r="A6" s="6" t="s">
        <v>50</v>
      </c>
      <c r="B6" s="29">
        <v>1000000</v>
      </c>
      <c r="D6" s="32" t="str">
        <v>AUDBILL6M</v>
      </c>
      <c r="E6" s="33">
        <v>-50.62987534631975</v>
      </c>
    </row>
    <row r="7" spans="1:5">
      <c r="D7" s="30" t="str">
        <v>AUDSwap1Y</v>
      </c>
      <c r="E7" s="31">
        <v>-99.801697180140764</v>
      </c>
    </row>
    <row r="8" spans="1:5">
      <c r="D8" s="32" t="str">
        <v>AUDSwap2Y</v>
      </c>
      <c r="E8" s="33">
        <v>-198.50988223752938</v>
      </c>
    </row>
    <row r="9" spans="1:5">
      <c r="D9" s="30" t="str">
        <v>AUDSwap3Y</v>
      </c>
      <c r="E9" s="31">
        <v>-296.2310449766228</v>
      </c>
    </row>
    <row r="10" spans="1:5">
      <c r="D10" s="32" t="str">
        <v>AUDSwap4Y</v>
      </c>
      <c r="E10" s="33">
        <v>-389.97758126899134</v>
      </c>
    </row>
    <row r="11" spans="1:5">
      <c r="D11" s="30" t="str">
        <v>AUDSwap5Y</v>
      </c>
      <c r="E11" s="31">
        <v>-482.14794816891663</v>
      </c>
    </row>
    <row r="12" spans="1:5">
      <c r="D12" s="32" t="str">
        <v>AUDSwap6Y</v>
      </c>
      <c r="E12" s="33">
        <v>-572.52974976843689</v>
      </c>
    </row>
    <row r="13" spans="1:5">
      <c r="D13" s="30" t="str">
        <v>AUDSwap7Y</v>
      </c>
      <c r="E13" s="31">
        <v>-661.06891265523154</v>
      </c>
    </row>
    <row r="14" spans="1:5">
      <c r="D14" s="32" t="str">
        <v>AUDSwap8Y</v>
      </c>
      <c r="E14" s="33">
        <v>-747.31021693476941</v>
      </c>
    </row>
    <row r="15" spans="1:5">
      <c r="D15" s="30" t="str">
        <v>AUDSwap9Y</v>
      </c>
      <c r="E15" s="31">
        <v>-832.00280300260056</v>
      </c>
    </row>
    <row r="16" spans="1:5">
      <c r="D16" s="32" t="str">
        <v>AUDSwap10Y</v>
      </c>
      <c r="E16" s="33">
        <v>-914.01474157650955</v>
      </c>
    </row>
    <row r="17" spans="4:24">
      <c r="D17" s="30" t="str">
        <v>AUDSwap12Y</v>
      </c>
      <c r="E17" s="31">
        <v>-1072.6310907976003</v>
      </c>
    </row>
    <row r="18" spans="4:24">
      <c r="D18" s="32" t="str">
        <v>AUDSwap15Y</v>
      </c>
      <c r="E18" s="33">
        <v>-1296.9935065332102</v>
      </c>
    </row>
    <row r="19" spans="4:24">
      <c r="D19" s="30" t="str">
        <v>AUDSwap20Y</v>
      </c>
      <c r="E19" s="31">
        <v>-1637.9684751841705</v>
      </c>
      <c r="M19" t="str">
        <f t="array" ref="M19:X39">marketItemInfo(B2,B3)</f>
        <v>Startdate</v>
      </c>
      <c r="N19" t="str">
        <v>Maturitydate</v>
      </c>
      <c r="O19" t="str">
        <v>Ccy</v>
      </c>
      <c r="P19" t="str">
        <v>Label</v>
      </c>
      <c r="Q19" t="str">
        <v>Rateconvention</v>
      </c>
      <c r="R19" t="str">
        <v>Yearbasis</v>
      </c>
      <c r="S19" t="str">
        <v>Rate</v>
      </c>
      <c r="T19" t="str">
        <v>Paymentfrequency</v>
      </c>
      <c r="U19" t="str">
        <v>Calendar</v>
      </c>
      <c r="V19" t="str">
        <v>Quotetype</v>
      </c>
      <c r="W19" t="str">
        <v>Compoundfrequency</v>
      </c>
      <c r="X19" t="str">
        <v>Paymentdelay</v>
      </c>
    </row>
    <row r="20" spans="4:24">
      <c r="D20" s="32" t="str">
        <v>AUDSwap25Y</v>
      </c>
      <c r="E20" s="33">
        <v>-1945.1718917408725</v>
      </c>
      <c r="M20" t="str">
        <v>04/01/2022</v>
      </c>
      <c r="N20" t="str">
        <v>04/02/2022</v>
      </c>
      <c r="O20" t="str">
        <v>AUD</v>
      </c>
      <c r="P20" t="str">
        <v>AUDBILL1M</v>
      </c>
      <c r="Q20" t="str">
        <v>linear</v>
      </c>
      <c r="R20" t="str">
        <v>acton365f</v>
      </c>
      <c r="S20">
        <v>1.4999999999999999E-4</v>
      </c>
      <c r="T20" t="str">
        <v>zero</v>
      </c>
      <c r="U20" t="str">
        <v>SYD</v>
      </c>
      <c r="V20" t="str">
        <v>DepositRate</v>
      </c>
      <c r="W20" t="str">
        <v/>
      </c>
      <c r="X20" t="str">
        <v/>
      </c>
    </row>
    <row r="21" spans="4:24">
      <c r="D21" s="30" t="str">
        <v>AUDSwap30Y</v>
      </c>
      <c r="E21" s="31">
        <v>-2226.9320450556697</v>
      </c>
      <c r="M21" t="str">
        <v>04/01/2022</v>
      </c>
      <c r="N21" t="str">
        <v>04/03/2022</v>
      </c>
      <c r="O21" t="str">
        <v>AUD</v>
      </c>
      <c r="P21" t="str">
        <v>AUDBILL2M</v>
      </c>
      <c r="Q21" t="str">
        <v>linear</v>
      </c>
      <c r="R21" t="str">
        <v>acton365f</v>
      </c>
      <c r="S21">
        <v>2.5700000000000001E-4</v>
      </c>
      <c r="T21" t="str">
        <v>zero</v>
      </c>
      <c r="U21" t="str">
        <v>SYD</v>
      </c>
      <c r="V21" t="str">
        <v>DepositRate</v>
      </c>
      <c r="W21" t="str">
        <v/>
      </c>
      <c r="X21" t="str">
        <v/>
      </c>
    </row>
    <row r="22" spans="4:24">
      <c r="D22" s="32" t="str">
        <v>AUDSwap50Y</v>
      </c>
      <c r="E22" s="33">
        <v>-3114.0993121607462</v>
      </c>
      <c r="M22" t="str">
        <v>04/01/2022</v>
      </c>
      <c r="N22" t="str">
        <v>04/04/2022</v>
      </c>
      <c r="O22" t="str">
        <v>AUD</v>
      </c>
      <c r="P22" t="str">
        <v>AUDBILL3M</v>
      </c>
      <c r="Q22" t="str">
        <v>linear</v>
      </c>
      <c r="R22" t="str">
        <v>acton365f</v>
      </c>
      <c r="S22">
        <v>6.7699999999999998E-4</v>
      </c>
      <c r="T22" t="str">
        <v>zero</v>
      </c>
      <c r="U22" t="str">
        <v>SYD</v>
      </c>
      <c r="V22" t="str">
        <v>DepositRate</v>
      </c>
      <c r="W22" t="str">
        <v/>
      </c>
      <c r="X22" t="str">
        <v/>
      </c>
    </row>
    <row r="23" spans="4:24">
      <c r="D23" s="30"/>
      <c r="E23" s="31"/>
      <c r="M23" t="str">
        <v>04/01/2022</v>
      </c>
      <c r="N23" t="str">
        <v>04/07/2022</v>
      </c>
      <c r="O23" t="str">
        <v>AUD</v>
      </c>
      <c r="P23" t="str">
        <v>AUDBILL6M</v>
      </c>
      <c r="Q23" t="str">
        <v>linear</v>
      </c>
      <c r="R23" t="str">
        <v>acton365f</v>
      </c>
      <c r="S23">
        <v>2.1349999999999997E-3</v>
      </c>
      <c r="T23" t="str">
        <v>zero</v>
      </c>
      <c r="U23" t="str">
        <v>SYD</v>
      </c>
      <c r="V23" t="str">
        <v>DepositRate</v>
      </c>
      <c r="W23" t="str">
        <v/>
      </c>
      <c r="X23" t="str">
        <v/>
      </c>
    </row>
    <row r="24" spans="4:24">
      <c r="D24" s="32"/>
      <c r="E24" s="33"/>
      <c r="M24" t="str">
        <v>04/01/2022</v>
      </c>
      <c r="N24" t="str">
        <v>04/01/2023</v>
      </c>
      <c r="O24" t="str">
        <v>AUD</v>
      </c>
      <c r="P24" t="str">
        <v>AUDSwap1Y</v>
      </c>
      <c r="Q24" t="str">
        <v>linear</v>
      </c>
      <c r="R24" t="str">
        <v>acton365f</v>
      </c>
      <c r="S24">
        <v>3.921E-3</v>
      </c>
      <c r="T24" t="str">
        <v>quarterly</v>
      </c>
      <c r="U24" t="str">
        <v>SYD</v>
      </c>
      <c r="V24" t="str">
        <v>SwapRate</v>
      </c>
      <c r="W24" t="str">
        <v>Zero</v>
      </c>
      <c r="X24" t="str">
        <v>0d</v>
      </c>
    </row>
    <row r="25" spans="4:24">
      <c r="D25" s="30"/>
      <c r="E25" s="31"/>
      <c r="M25" t="str">
        <v>04/01/2022</v>
      </c>
      <c r="N25" t="str">
        <v>04/01/2024</v>
      </c>
      <c r="O25" t="str">
        <v>AUD</v>
      </c>
      <c r="P25" t="str">
        <v>AUDSwap2Y</v>
      </c>
      <c r="Q25" t="str">
        <v>linear</v>
      </c>
      <c r="R25" t="str">
        <v>acton365f</v>
      </c>
      <c r="S25">
        <v>9.0840000000000001E-3</v>
      </c>
      <c r="T25" t="str">
        <v>quarterly</v>
      </c>
      <c r="U25" t="str">
        <v>SYD</v>
      </c>
      <c r="V25" t="str">
        <v>SwapRate</v>
      </c>
      <c r="W25" t="str">
        <v>Zero</v>
      </c>
      <c r="X25" t="str">
        <v>0d</v>
      </c>
    </row>
    <row r="26" spans="4:24">
      <c r="D26" s="32"/>
      <c r="E26" s="33"/>
      <c r="M26" t="str">
        <v>04/01/2022</v>
      </c>
      <c r="N26" t="str">
        <v>06/01/2025</v>
      </c>
      <c r="O26" t="str">
        <v>AUD</v>
      </c>
      <c r="P26" t="str">
        <v>AUDSwap3Y</v>
      </c>
      <c r="Q26" t="str">
        <v>linear</v>
      </c>
      <c r="R26" t="str">
        <v>acton365f</v>
      </c>
      <c r="S26">
        <v>1.2800000000000001E-2</v>
      </c>
      <c r="T26" t="str">
        <v>quarterly</v>
      </c>
      <c r="U26" t="str">
        <v>SYD</v>
      </c>
      <c r="V26" t="str">
        <v>SwapRate</v>
      </c>
      <c r="W26" t="str">
        <v>Zero</v>
      </c>
      <c r="X26" t="str">
        <v>0d</v>
      </c>
    </row>
    <row r="27" spans="4:24">
      <c r="D27" s="30"/>
      <c r="E27" s="31"/>
      <c r="M27" t="str">
        <v>04/01/2022</v>
      </c>
      <c r="N27" t="str">
        <v>05/01/2026</v>
      </c>
      <c r="O27" t="str">
        <v>AUD</v>
      </c>
      <c r="P27" t="str">
        <v>AUDSwap4Y</v>
      </c>
      <c r="Q27" t="str">
        <v>linear</v>
      </c>
      <c r="R27" t="str">
        <v>acton365f</v>
      </c>
      <c r="S27">
        <v>1.5449999999999998E-2</v>
      </c>
      <c r="T27" t="str">
        <v>semiannual</v>
      </c>
      <c r="U27" t="str">
        <v>SYD</v>
      </c>
      <c r="V27" t="str">
        <v>SwapRate</v>
      </c>
      <c r="W27" t="str">
        <v>Zero</v>
      </c>
      <c r="X27" t="str">
        <v>0d</v>
      </c>
    </row>
    <row r="28" spans="4:24">
      <c r="D28" s="32"/>
      <c r="E28" s="33"/>
      <c r="M28" t="str">
        <v>04/01/2022</v>
      </c>
      <c r="N28" t="str">
        <v>04/01/2027</v>
      </c>
      <c r="O28" t="str">
        <v>AUD</v>
      </c>
      <c r="P28" t="str">
        <v>AUDSwap5Y</v>
      </c>
      <c r="Q28" t="str">
        <v>linear</v>
      </c>
      <c r="R28" t="str">
        <v>acton365f</v>
      </c>
      <c r="S28">
        <v>1.6650000000000002E-2</v>
      </c>
      <c r="T28" t="str">
        <v>semiannual</v>
      </c>
      <c r="U28" t="str">
        <v>SYD</v>
      </c>
      <c r="V28" t="str">
        <v>SwapRate</v>
      </c>
      <c r="W28" t="str">
        <v>Zero</v>
      </c>
      <c r="X28" t="str">
        <v>0d</v>
      </c>
    </row>
    <row r="29" spans="4:24">
      <c r="D29" s="30"/>
      <c r="E29" s="31"/>
      <c r="M29" t="str">
        <v>04/01/2022</v>
      </c>
      <c r="N29" t="str">
        <v>04/01/2028</v>
      </c>
      <c r="O29" t="str">
        <v>AUD</v>
      </c>
      <c r="P29" t="str">
        <v>AUDSwap6Y</v>
      </c>
      <c r="Q29" t="str">
        <v>linear</v>
      </c>
      <c r="R29" t="str">
        <v>acton365f</v>
      </c>
      <c r="S29">
        <v>1.7589999999999998E-2</v>
      </c>
      <c r="T29" t="str">
        <v>semiannual</v>
      </c>
      <c r="U29" t="str">
        <v>SYD</v>
      </c>
      <c r="V29" t="str">
        <v>SwapRate</v>
      </c>
      <c r="W29" t="str">
        <v>Zero</v>
      </c>
      <c r="X29" t="str">
        <v>0d</v>
      </c>
    </row>
    <row r="30" spans="4:24">
      <c r="M30" t="str">
        <v>04/01/2022</v>
      </c>
      <c r="N30" t="str">
        <v>04/01/2029</v>
      </c>
      <c r="O30" t="str">
        <v>AUD</v>
      </c>
      <c r="P30" t="str">
        <v>AUDSwap7Y</v>
      </c>
      <c r="Q30" t="str">
        <v>linear</v>
      </c>
      <c r="R30" t="str">
        <v>acton365f</v>
      </c>
      <c r="S30">
        <v>1.839E-2</v>
      </c>
      <c r="T30" t="str">
        <v>semiannual</v>
      </c>
      <c r="U30" t="str">
        <v>SYD</v>
      </c>
      <c r="V30" t="str">
        <v>SwapRate</v>
      </c>
      <c r="W30" t="str">
        <v>Zero</v>
      </c>
      <c r="X30" t="str">
        <v>0d</v>
      </c>
    </row>
    <row r="31" spans="4:24">
      <c r="M31" t="str">
        <v>04/01/2022</v>
      </c>
      <c r="N31" t="str">
        <v>04/01/2030</v>
      </c>
      <c r="O31" t="str">
        <v>AUD</v>
      </c>
      <c r="P31" t="str">
        <v>AUDSwap8Y</v>
      </c>
      <c r="Q31" t="str">
        <v>linear</v>
      </c>
      <c r="R31" t="str">
        <v>acton365f</v>
      </c>
      <c r="S31">
        <v>1.899E-2</v>
      </c>
      <c r="T31" t="str">
        <v>semiannual</v>
      </c>
      <c r="U31" t="str">
        <v>SYD</v>
      </c>
      <c r="V31" t="str">
        <v>SwapRate</v>
      </c>
      <c r="W31" t="str">
        <v>Zero</v>
      </c>
      <c r="X31" t="str">
        <v>0d</v>
      </c>
    </row>
    <row r="32" spans="4:24">
      <c r="M32" t="str">
        <v>04/01/2022</v>
      </c>
      <c r="N32" t="str">
        <v>06/01/2031</v>
      </c>
      <c r="O32" t="str">
        <v>AUD</v>
      </c>
      <c r="P32" t="str">
        <v>AUDSwap9Y</v>
      </c>
      <c r="Q32" t="str">
        <v>linear</v>
      </c>
      <c r="R32" t="str">
        <v>acton365f</v>
      </c>
      <c r="S32">
        <v>1.9450000000000002E-2</v>
      </c>
      <c r="T32" t="str">
        <v>semiannual</v>
      </c>
      <c r="U32" t="str">
        <v>SYD</v>
      </c>
      <c r="V32" t="str">
        <v>SwapRate</v>
      </c>
      <c r="W32" t="str">
        <v>Zero</v>
      </c>
      <c r="X32" t="str">
        <v>0d</v>
      </c>
    </row>
    <row r="33" spans="13:24">
      <c r="M33" t="str">
        <v>04/01/2022</v>
      </c>
      <c r="N33" t="str">
        <v>05/01/2032</v>
      </c>
      <c r="O33" t="str">
        <v>AUD</v>
      </c>
      <c r="P33" t="str">
        <v>AUDSwap10Y</v>
      </c>
      <c r="Q33" t="str">
        <v>linear</v>
      </c>
      <c r="R33" t="str">
        <v>acton365f</v>
      </c>
      <c r="S33">
        <v>1.9875E-2</v>
      </c>
      <c r="T33" t="str">
        <v>semiannual</v>
      </c>
      <c r="U33" t="str">
        <v>SYD</v>
      </c>
      <c r="V33" t="str">
        <v>SwapRate</v>
      </c>
      <c r="W33" t="str">
        <v>Zero</v>
      </c>
      <c r="X33" t="str">
        <v>0d</v>
      </c>
    </row>
    <row r="34" spans="13:24">
      <c r="M34" t="str">
        <v>04/01/2022</v>
      </c>
      <c r="N34" t="str">
        <v>04/01/2034</v>
      </c>
      <c r="O34" t="str">
        <v>AUD</v>
      </c>
      <c r="P34" t="str">
        <v>AUDSwap12Y</v>
      </c>
      <c r="Q34" t="str">
        <v>linear</v>
      </c>
      <c r="R34" t="str">
        <v>acton365f</v>
      </c>
      <c r="S34">
        <v>2.053E-2</v>
      </c>
      <c r="T34" t="str">
        <v>semiannual</v>
      </c>
      <c r="U34" t="str">
        <v>SYD</v>
      </c>
      <c r="V34" t="str">
        <v>SwapRate</v>
      </c>
      <c r="W34" t="str">
        <v>Zero</v>
      </c>
      <c r="X34" t="str">
        <v>0d</v>
      </c>
    </row>
    <row r="35" spans="13:24">
      <c r="M35" t="str">
        <v>04/01/2022</v>
      </c>
      <c r="N35" t="str">
        <v>05/01/2037</v>
      </c>
      <c r="O35" t="str">
        <v>AUD</v>
      </c>
      <c r="P35" t="str">
        <v>AUDSwap15Y</v>
      </c>
      <c r="Q35" t="str">
        <v>linear</v>
      </c>
      <c r="R35" t="str">
        <v>acton365f</v>
      </c>
      <c r="S35">
        <v>2.1175000000000003E-2</v>
      </c>
      <c r="T35" t="str">
        <v>semiannual</v>
      </c>
      <c r="U35" t="str">
        <v>SYD</v>
      </c>
      <c r="V35" t="str">
        <v>SwapRate</v>
      </c>
      <c r="W35" t="str">
        <v>Zero</v>
      </c>
      <c r="X35" t="str">
        <v>0d</v>
      </c>
    </row>
    <row r="36" spans="13:24">
      <c r="M36" t="str">
        <v>04/01/2022</v>
      </c>
      <c r="N36" t="str">
        <v>06/01/2042</v>
      </c>
      <c r="O36" t="str">
        <v>AUD</v>
      </c>
      <c r="P36" t="str">
        <v>AUDSwap20Y</v>
      </c>
      <c r="Q36" t="str">
        <v>linear</v>
      </c>
      <c r="R36" t="str">
        <v>acton365f</v>
      </c>
      <c r="S36">
        <v>2.1425E-2</v>
      </c>
      <c r="T36" t="str">
        <v>semiannual</v>
      </c>
      <c r="U36" t="str">
        <v>SYD</v>
      </c>
      <c r="V36" t="str">
        <v>SwapRate</v>
      </c>
      <c r="W36" t="str">
        <v>Zero</v>
      </c>
      <c r="X36" t="str">
        <v>0d</v>
      </c>
    </row>
    <row r="37" spans="13:24">
      <c r="M37" t="str">
        <v>04/01/2022</v>
      </c>
      <c r="N37" t="str">
        <v>04/01/2047</v>
      </c>
      <c r="O37" t="str">
        <v>AUD</v>
      </c>
      <c r="P37" t="str">
        <v>AUDSwap25Y</v>
      </c>
      <c r="Q37" t="str">
        <v>linear</v>
      </c>
      <c r="R37" t="str">
        <v>acton365f</v>
      </c>
      <c r="S37">
        <v>2.1037499999999997E-2</v>
      </c>
      <c r="T37" t="str">
        <v>semiannual</v>
      </c>
      <c r="U37" t="str">
        <v>SYD</v>
      </c>
      <c r="V37" t="str">
        <v>SwapRate</v>
      </c>
      <c r="W37" t="str">
        <v>Zero</v>
      </c>
      <c r="X37" t="str">
        <v>0d</v>
      </c>
    </row>
    <row r="38" spans="13:24">
      <c r="M38" t="str">
        <v>04/01/2022</v>
      </c>
      <c r="N38" t="str">
        <v>04/01/2052</v>
      </c>
      <c r="O38" t="str">
        <v>AUD</v>
      </c>
      <c r="P38" t="str">
        <v>AUDSwap30Y</v>
      </c>
      <c r="Q38" t="str">
        <v>linear</v>
      </c>
      <c r="R38" t="str">
        <v>acton365f</v>
      </c>
      <c r="S38">
        <v>2.043E-2</v>
      </c>
      <c r="T38" t="str">
        <v>semiannual</v>
      </c>
      <c r="U38" t="str">
        <v>SYD</v>
      </c>
      <c r="V38" t="str">
        <v>SwapRate</v>
      </c>
      <c r="W38" t="str">
        <v>Zero</v>
      </c>
      <c r="X38" t="str">
        <v>0d</v>
      </c>
    </row>
    <row r="39" spans="13:24">
      <c r="M39" t="str">
        <v>04/01/2022</v>
      </c>
      <c r="N39" t="str">
        <v>04/01/2072</v>
      </c>
      <c r="O39" t="str">
        <v>AUD</v>
      </c>
      <c r="P39" t="str">
        <v>AUDSwap50Y</v>
      </c>
      <c r="Q39" t="str">
        <v>linear</v>
      </c>
      <c r="R39" t="str">
        <v>acton365f</v>
      </c>
      <c r="S39">
        <v>2.043E-2</v>
      </c>
      <c r="T39" t="str">
        <v>semiannual</v>
      </c>
      <c r="U39" t="str">
        <v>SYD</v>
      </c>
      <c r="V39" t="str">
        <v>SwapRate</v>
      </c>
      <c r="W39" t="str">
        <v>Zero</v>
      </c>
      <c r="X39" t="str">
        <v>0d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YieldCurve</vt:lpstr>
      <vt:lpstr>CreditCurve</vt:lpstr>
      <vt:lpstr>DV01</vt:lpstr>
      <vt:lpstr>buildItems</vt:lpstr>
      <vt:lpstr>MarketHandle</vt:lpstr>
      <vt:lpstr>valueDate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 Shen</dc:creator>
  <cp:lastModifiedBy>Leon Shen</cp:lastModifiedBy>
  <dcterms:created xsi:type="dcterms:W3CDTF">2022-04-17T17:27:03Z</dcterms:created>
  <dcterms:modified xsi:type="dcterms:W3CDTF">2022-05-22T04:51:24Z</dcterms:modified>
</cp:coreProperties>
</file>