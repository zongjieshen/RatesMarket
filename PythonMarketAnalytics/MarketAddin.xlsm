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ongjie\source\repos\zongjieshen\RatesMarket\PythonMarketAnalytics\"/>
    </mc:Choice>
  </mc:AlternateContent>
  <xr:revisionPtr revIDLastSave="0" documentId="13_ncr:1_{8DA41F49-841A-4CEB-9678-057A73038CE9}" xr6:coauthVersionLast="47" xr6:coauthVersionMax="47" xr10:uidLastSave="{00000000-0000-0000-0000-000000000000}"/>
  <bookViews>
    <workbookView xWindow="-120" yWindow="-120" windowWidth="38640" windowHeight="21240" xr2:uid="{360BA86D-65F6-4478-A636-331A56AC90E7}"/>
  </bookViews>
  <sheets>
    <sheet name="MarketViewer" sheetId="1" r:id="rId1"/>
    <sheet name="DV01" sheetId="4" r:id="rId2"/>
  </sheets>
  <functionGroups builtInGroupCount="19">
    <functionGroup name="xlwings"/>
  </functionGroups>
  <definedNames>
    <definedName name="buildItems">MarketViewer!$D$2:$I$25</definedName>
    <definedName name="MarketHandle">MarketViewer!$B$3</definedName>
    <definedName name="valueDate">MarketViewer!$B$2</definedName>
  </definedNames>
  <calcPr calcId="181029" calcMode="manual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Pill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A9" i="1" a="1"/>
  <c r="N6" i="1" a="1"/>
  <c r="B2" i="4" l="1"/>
  <c r="B14" i="1"/>
  <c r="A9" i="1"/>
  <c r="A15" i="1"/>
  <c r="B9" i="1"/>
  <c r="B15" i="1"/>
  <c r="A10" i="1"/>
  <c r="A16" i="1"/>
  <c r="B10" i="1"/>
  <c r="B16" i="1"/>
  <c r="A11" i="1"/>
  <c r="A17" i="1"/>
  <c r="B11" i="1"/>
  <c r="B17" i="1"/>
  <c r="A12" i="1"/>
  <c r="A18" i="1"/>
  <c r="B12" i="1"/>
  <c r="B18" i="1"/>
  <c r="A13" i="1"/>
  <c r="A19" i="1"/>
  <c r="B13" i="1"/>
  <c r="B19" i="1"/>
  <c r="A14" i="1"/>
  <c r="A20" i="1"/>
  <c r="B20" i="1"/>
  <c r="N6" i="1"/>
  <c r="N7" i="1"/>
  <c r="N19" i="1"/>
  <c r="N31" i="1"/>
  <c r="N43" i="1"/>
  <c r="N55" i="1"/>
  <c r="N67" i="1"/>
  <c r="N79" i="1"/>
  <c r="N91" i="1"/>
  <c r="N103" i="1"/>
  <c r="N115" i="1"/>
  <c r="N32" i="1"/>
  <c r="N68" i="1"/>
  <c r="N92" i="1"/>
  <c r="N116" i="1"/>
  <c r="N21" i="1"/>
  <c r="N81" i="1"/>
  <c r="N8" i="1"/>
  <c r="N20" i="1"/>
  <c r="N44" i="1"/>
  <c r="N56" i="1"/>
  <c r="N80" i="1"/>
  <c r="N104" i="1"/>
  <c r="N9" i="1"/>
  <c r="N33" i="1"/>
  <c r="N117" i="1"/>
  <c r="N10" i="1"/>
  <c r="N22" i="1"/>
  <c r="N34" i="1"/>
  <c r="N46" i="1"/>
  <c r="N58" i="1"/>
  <c r="N70" i="1"/>
  <c r="N82" i="1"/>
  <c r="N94" i="1"/>
  <c r="N106" i="1"/>
  <c r="N118" i="1"/>
  <c r="N75" i="1"/>
  <c r="N65" i="1"/>
  <c r="N113" i="1"/>
  <c r="N18" i="1"/>
  <c r="N90" i="1"/>
  <c r="N45" i="1"/>
  <c r="N11" i="1"/>
  <c r="N23" i="1"/>
  <c r="N35" i="1"/>
  <c r="N47" i="1"/>
  <c r="N59" i="1"/>
  <c r="N71" i="1"/>
  <c r="N83" i="1"/>
  <c r="N95" i="1"/>
  <c r="N107" i="1"/>
  <c r="N119" i="1"/>
  <c r="N111" i="1"/>
  <c r="N17" i="1"/>
  <c r="N89" i="1"/>
  <c r="N30" i="1"/>
  <c r="N78" i="1"/>
  <c r="N105" i="1"/>
  <c r="N12" i="1"/>
  <c r="N24" i="1"/>
  <c r="N36" i="1"/>
  <c r="N48" i="1"/>
  <c r="N60" i="1"/>
  <c r="N72" i="1"/>
  <c r="N84" i="1"/>
  <c r="N96" i="1"/>
  <c r="N108" i="1"/>
  <c r="N120" i="1"/>
  <c r="N13" i="1"/>
  <c r="N25" i="1"/>
  <c r="N37" i="1"/>
  <c r="N49" i="1"/>
  <c r="N61" i="1"/>
  <c r="N73" i="1"/>
  <c r="N85" i="1"/>
  <c r="N97" i="1"/>
  <c r="N109" i="1"/>
  <c r="N121" i="1"/>
  <c r="N99" i="1"/>
  <c r="N53" i="1"/>
  <c r="N101" i="1"/>
  <c r="N42" i="1"/>
  <c r="N102" i="1"/>
  <c r="N57" i="1"/>
  <c r="N14" i="1"/>
  <c r="N26" i="1"/>
  <c r="N38" i="1"/>
  <c r="N50" i="1"/>
  <c r="N62" i="1"/>
  <c r="N74" i="1"/>
  <c r="N86" i="1"/>
  <c r="N98" i="1"/>
  <c r="N110" i="1"/>
  <c r="N122" i="1"/>
  <c r="N51" i="1"/>
  <c r="N29" i="1"/>
  <c r="N77" i="1"/>
  <c r="N66" i="1"/>
  <c r="N93" i="1"/>
  <c r="N15" i="1"/>
  <c r="N27" i="1"/>
  <c r="N39" i="1"/>
  <c r="N63" i="1"/>
  <c r="N87" i="1"/>
  <c r="N41" i="1"/>
  <c r="N54" i="1"/>
  <c r="N114" i="1"/>
  <c r="N69" i="1"/>
  <c r="N16" i="1"/>
  <c r="N28" i="1"/>
  <c r="N40" i="1"/>
  <c r="N52" i="1"/>
  <c r="N64" i="1"/>
  <c r="N76" i="1"/>
  <c r="N88" i="1"/>
  <c r="N100" i="1"/>
  <c r="N112" i="1"/>
  <c r="D2" i="4" a="1"/>
  <c r="P6" i="1" a="1"/>
  <c r="Q6" i="1" a="1"/>
  <c r="R6" i="1" a="1"/>
  <c r="O6" i="1" a="1"/>
  <c r="E2" i="4" l="1"/>
  <c r="E5" i="4"/>
  <c r="E22" i="4"/>
  <c r="E15" i="4"/>
  <c r="E4" i="4"/>
  <c r="E10" i="4"/>
  <c r="E6" i="4"/>
  <c r="D2" i="4"/>
  <c r="E21" i="4"/>
  <c r="E18" i="4"/>
  <c r="D10" i="4"/>
  <c r="E12" i="4"/>
  <c r="D11" i="4"/>
  <c r="E13" i="4"/>
  <c r="D3" i="4"/>
  <c r="D14" i="4"/>
  <c r="E17" i="4"/>
  <c r="D16" i="4"/>
  <c r="E9" i="4"/>
  <c r="D21" i="4"/>
  <c r="D5" i="4"/>
  <c r="D20" i="4"/>
  <c r="E16" i="4"/>
  <c r="E19" i="4"/>
  <c r="E11" i="4"/>
  <c r="D17" i="4"/>
  <c r="D4" i="4"/>
  <c r="D15" i="4"/>
  <c r="D8" i="4"/>
  <c r="D19" i="4"/>
  <c r="D9" i="4"/>
  <c r="E7" i="4"/>
  <c r="E3" i="4"/>
  <c r="E8" i="4"/>
  <c r="D18" i="4"/>
  <c r="D22" i="4"/>
  <c r="D6" i="4"/>
  <c r="D12" i="4"/>
  <c r="D7" i="4"/>
  <c r="D13" i="4"/>
  <c r="E20" i="4"/>
  <c r="E14" i="4"/>
  <c r="O62" i="1"/>
  <c r="O86" i="1"/>
  <c r="O104" i="1"/>
  <c r="O11" i="1"/>
  <c r="O61" i="1"/>
  <c r="O113" i="1"/>
  <c r="O73" i="1"/>
  <c r="O13" i="1"/>
  <c r="O31" i="1"/>
  <c r="O93" i="1"/>
  <c r="O70" i="1"/>
  <c r="O46" i="1"/>
  <c r="O115" i="1"/>
  <c r="O60" i="1"/>
  <c r="O110" i="1"/>
  <c r="O7" i="1"/>
  <c r="O88" i="1"/>
  <c r="O120" i="1"/>
  <c r="O25" i="1"/>
  <c r="O117" i="1"/>
  <c r="O44" i="1"/>
  <c r="O118" i="1"/>
  <c r="O114" i="1"/>
  <c r="O58" i="1"/>
  <c r="O18" i="1"/>
  <c r="O121" i="1"/>
  <c r="O64" i="1"/>
  <c r="O77" i="1"/>
  <c r="O84" i="1"/>
  <c r="O108" i="1"/>
  <c r="O43" i="1"/>
  <c r="O55" i="1"/>
  <c r="O21" i="1"/>
  <c r="O90" i="1"/>
  <c r="O37" i="1"/>
  <c r="O76" i="1"/>
  <c r="O42" i="1"/>
  <c r="O40" i="1"/>
  <c r="O71" i="1"/>
  <c r="O47" i="1"/>
  <c r="O19" i="1"/>
  <c r="O52" i="1"/>
  <c r="O30" i="1"/>
  <c r="O27" i="1"/>
  <c r="O65" i="1"/>
  <c r="O33" i="1"/>
  <c r="O80" i="1"/>
  <c r="O103" i="1"/>
  <c r="O36" i="1"/>
  <c r="O92" i="1"/>
  <c r="O107" i="1"/>
  <c r="O74" i="1"/>
  <c r="O79" i="1"/>
  <c r="O23" i="1"/>
  <c r="O57" i="1"/>
  <c r="O105" i="1"/>
  <c r="O102" i="1"/>
  <c r="O66" i="1"/>
  <c r="O122" i="1"/>
  <c r="O53" i="1"/>
  <c r="O8" i="1"/>
  <c r="O34" i="1"/>
  <c r="O39" i="1"/>
  <c r="O101" i="1"/>
  <c r="O81" i="1"/>
  <c r="O91" i="1"/>
  <c r="O89" i="1"/>
  <c r="O9" i="1"/>
  <c r="O78" i="1"/>
  <c r="O69" i="1"/>
  <c r="O24" i="1"/>
  <c r="O112" i="1"/>
  <c r="O96" i="1"/>
  <c r="O95" i="1"/>
  <c r="O49" i="1"/>
  <c r="O26" i="1"/>
  <c r="O22" i="1"/>
  <c r="O83" i="1"/>
  <c r="O63" i="1"/>
  <c r="O54" i="1"/>
  <c r="O106" i="1"/>
  <c r="O20" i="1"/>
  <c r="O32" i="1"/>
  <c r="O17" i="1"/>
  <c r="O67" i="1"/>
  <c r="O51" i="1"/>
  <c r="O45" i="1"/>
  <c r="O116" i="1"/>
  <c r="O29" i="1"/>
  <c r="O6" i="1"/>
  <c r="O35" i="1"/>
  <c r="O85" i="1"/>
  <c r="O10" i="1"/>
  <c r="O48" i="1"/>
  <c r="O119" i="1"/>
  <c r="O111" i="1"/>
  <c r="O87" i="1"/>
  <c r="O15" i="1"/>
  <c r="O16" i="1"/>
  <c r="O28" i="1"/>
  <c r="O75" i="1"/>
  <c r="O38" i="1"/>
  <c r="O100" i="1"/>
  <c r="O97" i="1"/>
  <c r="O72" i="1"/>
  <c r="O98" i="1"/>
  <c r="O50" i="1"/>
  <c r="O68" i="1"/>
  <c r="O94" i="1"/>
  <c r="O14" i="1"/>
  <c r="O56" i="1"/>
  <c r="O41" i="1"/>
  <c r="O99" i="1"/>
  <c r="O109" i="1"/>
  <c r="O82" i="1"/>
  <c r="O59" i="1"/>
  <c r="O12" i="1"/>
  <c r="R35" i="1"/>
  <c r="R79" i="1"/>
  <c r="R70" i="1"/>
  <c r="R77" i="1"/>
  <c r="R109" i="1"/>
  <c r="R62" i="1"/>
  <c r="R18" i="1"/>
  <c r="R103" i="1"/>
  <c r="R105" i="1"/>
  <c r="R12" i="1"/>
  <c r="R121" i="1"/>
  <c r="R50" i="1"/>
  <c r="R31" i="1"/>
  <c r="R102" i="1"/>
  <c r="R86" i="1"/>
  <c r="R74" i="1"/>
  <c r="R21" i="1"/>
  <c r="R44" i="1"/>
  <c r="R24" i="1"/>
  <c r="R46" i="1"/>
  <c r="R118" i="1"/>
  <c r="R115" i="1"/>
  <c r="R81" i="1"/>
  <c r="R113" i="1"/>
  <c r="R37" i="1"/>
  <c r="R47" i="1"/>
  <c r="R120" i="1"/>
  <c r="R111" i="1"/>
  <c r="R45" i="1"/>
  <c r="R87" i="1"/>
  <c r="R17" i="1"/>
  <c r="R101" i="1"/>
  <c r="R91" i="1"/>
  <c r="R80" i="1"/>
  <c r="R116" i="1"/>
  <c r="R76" i="1"/>
  <c r="R96" i="1"/>
  <c r="R106" i="1"/>
  <c r="R43" i="1"/>
  <c r="R117" i="1"/>
  <c r="R52" i="1"/>
  <c r="R61" i="1"/>
  <c r="R89" i="1"/>
  <c r="R60" i="1"/>
  <c r="R10" i="1"/>
  <c r="R78" i="1"/>
  <c r="R19" i="1"/>
  <c r="R20" i="1"/>
  <c r="R72" i="1"/>
  <c r="R112" i="1"/>
  <c r="R55" i="1"/>
  <c r="R16" i="1"/>
  <c r="R110" i="1"/>
  <c r="R23" i="1"/>
  <c r="R14" i="1"/>
  <c r="R97" i="1"/>
  <c r="R33" i="1"/>
  <c r="R8" i="1"/>
  <c r="R36" i="1"/>
  <c r="R119" i="1"/>
  <c r="R93" i="1"/>
  <c r="R39" i="1"/>
  <c r="R38" i="1"/>
  <c r="R54" i="1"/>
  <c r="R56" i="1"/>
  <c r="R92" i="1"/>
  <c r="R85" i="1"/>
  <c r="R94" i="1"/>
  <c r="R32" i="1"/>
  <c r="R104" i="1"/>
  <c r="R98" i="1"/>
  <c r="R122" i="1"/>
  <c r="R25" i="1"/>
  <c r="R53" i="1"/>
  <c r="R57" i="1"/>
  <c r="R83" i="1"/>
  <c r="R26" i="1"/>
  <c r="R84" i="1"/>
  <c r="R22" i="1"/>
  <c r="R114" i="1"/>
  <c r="R42" i="1"/>
  <c r="R59" i="1"/>
  <c r="R64" i="1"/>
  <c r="R41" i="1"/>
  <c r="R67" i="1"/>
  <c r="R108" i="1"/>
  <c r="R6" i="1"/>
  <c r="R82" i="1"/>
  <c r="R51" i="1"/>
  <c r="R27" i="1"/>
  <c r="R100" i="1"/>
  <c r="R88" i="1"/>
  <c r="R63" i="1"/>
  <c r="R11" i="1"/>
  <c r="R65" i="1"/>
  <c r="R30" i="1"/>
  <c r="R90" i="1"/>
  <c r="R99" i="1"/>
  <c r="R95" i="1"/>
  <c r="R9" i="1"/>
  <c r="R40" i="1"/>
  <c r="R69" i="1"/>
  <c r="R49" i="1"/>
  <c r="R75" i="1"/>
  <c r="R68" i="1"/>
  <c r="R34" i="1"/>
  <c r="R15" i="1"/>
  <c r="R73" i="1"/>
  <c r="R7" i="1"/>
  <c r="R107" i="1"/>
  <c r="R48" i="1"/>
  <c r="R28" i="1"/>
  <c r="R13" i="1"/>
  <c r="R58" i="1"/>
  <c r="R66" i="1"/>
  <c r="R71" i="1"/>
  <c r="R29" i="1"/>
  <c r="Q19" i="1"/>
  <c r="Q119" i="1"/>
  <c r="Q89" i="1"/>
  <c r="Q75" i="1"/>
  <c r="Q54" i="1"/>
  <c r="Q51" i="1"/>
  <c r="Q91" i="1"/>
  <c r="Q42" i="1"/>
  <c r="Q100" i="1"/>
  <c r="Q105" i="1"/>
  <c r="Q71" i="1"/>
  <c r="Q73" i="1"/>
  <c r="Q102" i="1"/>
  <c r="Q7" i="1"/>
  <c r="Q83" i="1"/>
  <c r="Q31" i="1"/>
  <c r="Q57" i="1"/>
  <c r="Q87" i="1"/>
  <c r="Q99" i="1"/>
  <c r="Q81" i="1"/>
  <c r="Q107" i="1"/>
  <c r="Q16" i="1"/>
  <c r="Q69" i="1"/>
  <c r="Q33" i="1"/>
  <c r="Q116" i="1"/>
  <c r="Q14" i="1"/>
  <c r="Q78" i="1"/>
  <c r="Q6" i="1"/>
  <c r="Q35" i="1"/>
  <c r="Q28" i="1"/>
  <c r="Q118" i="1"/>
  <c r="Q115" i="1"/>
  <c r="Q38" i="1"/>
  <c r="Q93" i="1"/>
  <c r="Q24" i="1"/>
  <c r="Q79" i="1"/>
  <c r="Q45" i="1"/>
  <c r="Q72" i="1"/>
  <c r="Q9" i="1"/>
  <c r="Q62" i="1"/>
  <c r="Q117" i="1"/>
  <c r="Q92" i="1"/>
  <c r="Q27" i="1"/>
  <c r="Q88" i="1"/>
  <c r="Q53" i="1"/>
  <c r="Q98" i="1"/>
  <c r="Q39" i="1"/>
  <c r="Q64" i="1"/>
  <c r="Q108" i="1"/>
  <c r="Q49" i="1"/>
  <c r="Q23" i="1"/>
  <c r="Q30" i="1"/>
  <c r="Q52" i="1"/>
  <c r="Q76" i="1"/>
  <c r="Q103" i="1"/>
  <c r="Q111" i="1"/>
  <c r="Q36" i="1"/>
  <c r="Q26" i="1"/>
  <c r="Q74" i="1"/>
  <c r="Q104" i="1"/>
  <c r="Q63" i="1"/>
  <c r="Q67" i="1"/>
  <c r="Q90" i="1"/>
  <c r="Q85" i="1"/>
  <c r="Q112" i="1"/>
  <c r="Q58" i="1"/>
  <c r="Q17" i="1"/>
  <c r="Q59" i="1"/>
  <c r="Q66" i="1"/>
  <c r="Q82" i="1"/>
  <c r="Q37" i="1"/>
  <c r="Q86" i="1"/>
  <c r="Q32" i="1"/>
  <c r="Q68" i="1"/>
  <c r="Q15" i="1"/>
  <c r="Q20" i="1"/>
  <c r="Q18" i="1"/>
  <c r="Q29" i="1"/>
  <c r="Q120" i="1"/>
  <c r="Q106" i="1"/>
  <c r="Q40" i="1"/>
  <c r="Q61" i="1"/>
  <c r="Q84" i="1"/>
  <c r="Q48" i="1"/>
  <c r="Q101" i="1"/>
  <c r="Q94" i="1"/>
  <c r="Q114" i="1"/>
  <c r="Q70" i="1"/>
  <c r="Q12" i="1"/>
  <c r="Q60" i="1"/>
  <c r="Q46" i="1"/>
  <c r="Q56" i="1"/>
  <c r="Q77" i="1"/>
  <c r="Q50" i="1"/>
  <c r="Q121" i="1"/>
  <c r="Q95" i="1"/>
  <c r="Q22" i="1"/>
  <c r="Q13" i="1"/>
  <c r="Q110" i="1"/>
  <c r="Q80" i="1"/>
  <c r="Q122" i="1"/>
  <c r="Q25" i="1"/>
  <c r="Q65" i="1"/>
  <c r="Q55" i="1"/>
  <c r="Q21" i="1"/>
  <c r="Q113" i="1"/>
  <c r="Q47" i="1"/>
  <c r="Q96" i="1"/>
  <c r="Q41" i="1"/>
  <c r="Q44" i="1"/>
  <c r="Q8" i="1"/>
  <c r="Q34" i="1"/>
  <c r="Q11" i="1"/>
  <c r="Q109" i="1"/>
  <c r="Q10" i="1"/>
  <c r="Q43" i="1"/>
  <c r="Q97" i="1"/>
  <c r="P91" i="1"/>
  <c r="P118" i="1"/>
  <c r="P20" i="1"/>
  <c r="P77" i="1"/>
  <c r="P116" i="1"/>
  <c r="P92" i="1"/>
  <c r="P33" i="1"/>
  <c r="P67" i="1"/>
  <c r="P29" i="1"/>
  <c r="P94" i="1"/>
  <c r="P58" i="1"/>
  <c r="P115" i="1"/>
  <c r="P119" i="1"/>
  <c r="P84" i="1"/>
  <c r="P32" i="1"/>
  <c r="P35" i="1"/>
  <c r="P100" i="1"/>
  <c r="P60" i="1"/>
  <c r="P80" i="1"/>
  <c r="P76" i="1"/>
  <c r="P17" i="1"/>
  <c r="P21" i="1"/>
  <c r="P39" i="1"/>
  <c r="P57" i="1"/>
  <c r="P56" i="1"/>
  <c r="P10" i="1"/>
  <c r="P88" i="1"/>
  <c r="P86" i="1"/>
  <c r="P93" i="1"/>
  <c r="P68" i="1"/>
  <c r="P26" i="1"/>
  <c r="P55" i="1"/>
  <c r="P18" i="1"/>
  <c r="P65" i="1"/>
  <c r="P114" i="1"/>
  <c r="P6" i="1"/>
  <c r="P14" i="1"/>
  <c r="P44" i="1"/>
  <c r="P15" i="1"/>
  <c r="P7" i="1"/>
  <c r="P12" i="1"/>
  <c r="P104" i="1"/>
  <c r="P111" i="1"/>
  <c r="P95" i="1"/>
  <c r="P37" i="1"/>
  <c r="P16" i="1"/>
  <c r="P101" i="1"/>
  <c r="P85" i="1"/>
  <c r="P106" i="1"/>
  <c r="P102" i="1"/>
  <c r="P113" i="1"/>
  <c r="P48" i="1"/>
  <c r="P13" i="1"/>
  <c r="P74" i="1"/>
  <c r="P73" i="1"/>
  <c r="P47" i="1"/>
  <c r="P30" i="1"/>
  <c r="P36" i="1"/>
  <c r="P24" i="1"/>
  <c r="P45" i="1"/>
  <c r="P78" i="1"/>
  <c r="P121" i="1"/>
  <c r="P87" i="1"/>
  <c r="P41" i="1"/>
  <c r="P31" i="1"/>
  <c r="P70" i="1"/>
  <c r="P66" i="1"/>
  <c r="P25" i="1"/>
  <c r="P72" i="1"/>
  <c r="P50" i="1"/>
  <c r="P28" i="1"/>
  <c r="P98" i="1"/>
  <c r="P61" i="1"/>
  <c r="P34" i="1"/>
  <c r="P112" i="1"/>
  <c r="P62" i="1"/>
  <c r="P40" i="1"/>
  <c r="P38" i="1"/>
  <c r="P11" i="1"/>
  <c r="P22" i="1"/>
  <c r="P75" i="1"/>
  <c r="P63" i="1"/>
  <c r="P110" i="1"/>
  <c r="P79" i="1"/>
  <c r="P53" i="1"/>
  <c r="P19" i="1"/>
  <c r="P8" i="1"/>
  <c r="P109" i="1"/>
  <c r="P54" i="1"/>
  <c r="P107" i="1"/>
  <c r="P49" i="1"/>
  <c r="P51" i="1"/>
  <c r="P59" i="1"/>
  <c r="P82" i="1"/>
  <c r="P52" i="1"/>
  <c r="P96" i="1"/>
  <c r="P43" i="1"/>
  <c r="P9" i="1"/>
  <c r="P122" i="1"/>
  <c r="P69" i="1"/>
  <c r="P117" i="1"/>
  <c r="P99" i="1"/>
  <c r="P89" i="1"/>
  <c r="P97" i="1"/>
  <c r="P23" i="1"/>
  <c r="P120" i="1"/>
  <c r="P27" i="1"/>
  <c r="P71" i="1"/>
  <c r="P90" i="1"/>
  <c r="P42" i="1"/>
  <c r="P105" i="1"/>
  <c r="P46" i="1"/>
  <c r="P103" i="1"/>
  <c r="P108" i="1"/>
  <c r="P81" i="1"/>
  <c r="P64" i="1"/>
  <c r="P83" i="1"/>
</calcChain>
</file>

<file path=xl/sharedStrings.xml><?xml version="1.0" encoding="utf-8"?>
<sst xmlns="http://schemas.openxmlformats.org/spreadsheetml/2006/main" count="90" uniqueCount="65">
  <si>
    <t>31/12/2021</t>
    <phoneticPr fontId="1" type="noConversion"/>
  </si>
  <si>
    <t>ValueDate</t>
  </si>
  <si>
    <t>Market Handle</t>
  </si>
  <si>
    <t>Parameter</t>
  </si>
  <si>
    <t>UseCache</t>
  </si>
  <si>
    <t>Build</t>
  </si>
  <si>
    <t>CurveType</t>
  </si>
  <si>
    <t>Filter</t>
  </si>
  <si>
    <t>Ccy</t>
  </si>
  <si>
    <t>AUDBondGov</t>
  </si>
  <si>
    <t>AUDSwap</t>
  </si>
  <si>
    <t>GBPOIS</t>
  </si>
  <si>
    <t>JPYOIS</t>
  </si>
  <si>
    <t>AUDSwap3m</t>
  </si>
  <si>
    <t>AUDSwap6m</t>
  </si>
  <si>
    <t>ValueType == 'BondYield' and Currency == 'AUD'</t>
  </si>
  <si>
    <t>Currency == 'GBP' and Context == 'Valuation' and Source == 'BBG' and ValueType == 'SwapRate' and CompoundingFrequency == 'Daily'</t>
  </si>
  <si>
    <t>Currency == 'JPY' and Context == 'Valuation' and Source == 'BBG' and ValueType == 'SwapRate' and CompoundingFrequency == 'Daily'</t>
  </si>
  <si>
    <t>(ValueType == 'DepositRate' and Label.str.contains ('AUDBILL').values) or ValueType == 'SwapRate' and PaymentFrequency == 'Quarterly' and Label.str.startswith('AUDSwap').values or ValueType == 'BasisSwap' and PaymentFrequency == 'SemiAnnual' and Label.str.startswith('AUDBasis6m3m').values</t>
  </si>
  <si>
    <t>(ValueType == 'DepositRate' and Label.str.contains ('AUDBILL').values) or ValueType == 'SwapRate' and PaymentFrequency == 'SemiAnnual' and Label.str.startswith('AUDSwap').values or ValueType == 'BasisSwap' and PaymentFrequency == 'Quarterly' and Label.str.startswith('AUDBasis6m3m').values</t>
  </si>
  <si>
    <t>AUDSwap1m</t>
  </si>
  <si>
    <t>AUCPI</t>
  </si>
  <si>
    <t>AUD.Bond.Gov.BEI</t>
  </si>
  <si>
    <t>YieldCurve</t>
  </si>
  <si>
    <t>IndexFixing</t>
  </si>
  <si>
    <t>InflationCurve</t>
  </si>
  <si>
    <t>(ValueType == 'DepositRate' and Label.str.contains ('AUDBILL').values) or ValueType == 'BasisSwap' and Label.str.startswith('AUDBasis3m1m').values</t>
  </si>
  <si>
    <t>Currency =='AUD' and Context == 'Valuation' and Source == 'BBG' and ValueType == 'BondYield'</t>
  </si>
  <si>
    <t>Currency =='AUD'</t>
  </si>
  <si>
    <t>AUD</t>
  </si>
  <si>
    <t>GBP</t>
  </si>
  <si>
    <t>JPY</t>
  </si>
  <si>
    <t>Label</t>
  </si>
  <si>
    <t>ValueType == 'DepositRate' and Label.str.contains ('AUDBILL').values or ValueType == 'SwapRate' and Label.str.contains ('AUDSwap').values</t>
  </si>
  <si>
    <t>FromDate</t>
  </si>
  <si>
    <t>ToDate</t>
  </si>
  <si>
    <t>Calendar</t>
  </si>
  <si>
    <t>Tenor</t>
  </si>
  <si>
    <t>3m</t>
  </si>
  <si>
    <t>SYD</t>
  </si>
  <si>
    <t>Convention</t>
  </si>
  <si>
    <t>RateType</t>
  </si>
  <si>
    <t>zero</t>
  </si>
  <si>
    <t>Fwd tenor</t>
  </si>
  <si>
    <t>unadjusted</t>
  </si>
  <si>
    <t>Curve Name</t>
  </si>
  <si>
    <t>Handle</t>
  </si>
  <si>
    <t>pillar</t>
  </si>
  <si>
    <t>ShockType</t>
  </si>
  <si>
    <t>ShockAmount</t>
  </si>
  <si>
    <t>Notional</t>
  </si>
  <si>
    <t>Curve</t>
  </si>
  <si>
    <t>fwd</t>
  </si>
  <si>
    <t>Params</t>
  </si>
  <si>
    <t>discountCurve=AUDSwap</t>
  </si>
  <si>
    <t>discountCurve=AUDSwap3m</t>
  </si>
  <si>
    <t>PriceCurve</t>
  </si>
  <si>
    <t>IaaSpread</t>
  </si>
  <si>
    <t>Label == 'RBABondA'</t>
  </si>
  <si>
    <t>discountCurve=AUDBondGov;IndexFixing=AUCPI</t>
  </si>
  <si>
    <t>InterpMethod = previous</t>
  </si>
  <si>
    <t>SpreadYieldCurve</t>
  </si>
  <si>
    <t>AUDIaaCurve</t>
  </si>
  <si>
    <t>spreadCurve=IaaSpread;periods=3m;yearBasis=acton365f;discountCurve=AUDBondGov</t>
  </si>
  <si>
    <t>swaprate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</si>
</sst>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[$-C09]dd\-mmm\-yy;@"/>
    <numFmt numFmtId="168" formatCode="_(* #,##0.00000000_);_(* \(#,##0.00000000\);_(* &quot;-&quot;??_);_(@_)"/>
  </numFmts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164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</cellStyleXfs>
  <cellXfs count="34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65" fontId="0" fillId="0" borderId="0" xfId="1" applyNumberFormat="1" applyFont="1" applyAlignment="1"/>
    <xf numFmtId="166" fontId="0" fillId="0" borderId="0" xfId="0" applyNumberFormat="1"/>
    <xf numFmtId="0" fontId="5" fillId="7" borderId="0" xfId="0" applyFont="1" applyFill="1"/>
    <xf numFmtId="14" fontId="2" fillId="6" borderId="1" xfId="6" applyNumberFormat="1" applyBorder="1"/>
    <xf numFmtId="0" fontId="4" fillId="2" borderId="0" xfId="2"/>
    <xf numFmtId="0" fontId="2" fillId="4" borderId="0" xfId="4"/>
    <xf numFmtId="0" fontId="6" fillId="3" borderId="0" xfId="3" applyFont="1"/>
    <xf numFmtId="0" fontId="2" fillId="6" borderId="0" xfId="6"/>
    <xf numFmtId="0" fontId="2" fillId="5" borderId="0" xfId="5"/>
    <xf numFmtId="0" fontId="2" fillId="6" borderId="0" xfId="6" applyAlignment="1"/>
    <xf numFmtId="0" fontId="2" fillId="5" borderId="0" xfId="5" applyAlignment="1"/>
    <xf numFmtId="166" fontId="2" fillId="6" borderId="0" xfId="6" applyNumberFormat="1"/>
    <xf numFmtId="166" fontId="2" fillId="5" borderId="0" xfId="5" applyNumberFormat="1"/>
    <xf numFmtId="167" fontId="0" fillId="0" borderId="0" xfId="0" applyNumberFormat="1"/>
    <xf numFmtId="0" fontId="0" fillId="0" borderId="0" xfId="1" applyNumberFormat="1" applyFont="1" applyAlignment="1"/>
    <xf numFmtId="168" fontId="0" fillId="0" borderId="0" xfId="1" applyNumberFormat="1" applyFont="1" applyAlignment="1"/>
    <xf numFmtId="167" fontId="2" fillId="9" borderId="0" xfId="8" applyNumberFormat="1"/>
    <xf numFmtId="10" fontId="2" fillId="9" borderId="0" xfId="8" applyNumberFormat="1"/>
    <xf numFmtId="10" fontId="2" fillId="9" borderId="0" xfId="8" applyNumberFormat="1" applyAlignment="1"/>
    <xf numFmtId="167" fontId="2" fillId="8" borderId="0" xfId="7" applyNumberFormat="1"/>
    <xf numFmtId="10" fontId="2" fillId="8" borderId="0" xfId="7" applyNumberFormat="1"/>
    <xf numFmtId="10" fontId="2" fillId="8" borderId="0" xfId="7" applyNumberFormat="1" applyAlignment="1"/>
    <xf numFmtId="14" fontId="2" fillId="6" borderId="0" xfId="6" applyNumberFormat="1" applyAlignment="1">
      <alignment horizontal="right"/>
    </xf>
    <xf numFmtId="14" fontId="2" fillId="5" borderId="0" xfId="5" applyNumberFormat="1" applyAlignment="1">
      <alignment horizontal="right"/>
    </xf>
    <xf numFmtId="0" fontId="2" fillId="6" borderId="0" xfId="6" applyNumberFormat="1"/>
    <xf numFmtId="0" fontId="2" fillId="5" borderId="0" xfId="5" applyNumberFormat="1"/>
    <xf numFmtId="0" fontId="2" fillId="9" borderId="0" xfId="8"/>
    <xf numFmtId="165" fontId="2" fillId="9" borderId="0" xfId="8" applyNumberFormat="1" applyAlignment="1"/>
    <xf numFmtId="0" fontId="2" fillId="8" borderId="0" xfId="7"/>
    <xf numFmtId="165" fontId="2" fillId="8" borderId="0" xfId="7" applyNumberFormat="1" applyAlignment="1"/>
  </cellXfs>
  <cellStyles count="9">
    <cellStyle name="20% - Accent6" xfId="7" builtinId="50"/>
    <cellStyle name="40% - Accent3" xfId="3" builtinId="39"/>
    <cellStyle name="40% - Accent4" xfId="5" builtinId="43"/>
    <cellStyle name="40% - Accent6" xfId="8" builtinId="51"/>
    <cellStyle name="60% - Accent3" xfId="4" builtinId="40"/>
    <cellStyle name="60% - Accent4" xfId="6" builtinId="44"/>
    <cellStyle name="Comma" xfId="1" builtinId="3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MarketViewer!$O$6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MarketViewer!$N$7:$N$122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MarketViewer!$O$7:$O$122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98A-861E-7EA832C3EBD8}"/>
            </c:ext>
          </c:extLst>
        </c:ser>
        <c:ser>
          <c:idx val="1"/>
          <c:order val="1"/>
          <c:tx>
            <c:strRef>
              <c:f>MarketViewer!$P$6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MarketViewer!$N$7:$N$122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MarketViewer!$P$7:$P$122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98A-861E-7EA832C3EBD8}"/>
            </c:ext>
          </c:extLst>
        </c:ser>
        <c:ser>
          <c:idx val="2"/>
          <c:order val="2"/>
          <c:tx>
            <c:strRef>
              <c:f>MarketViewer!$Q$6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MarketViewer!$N$7:$N$122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MarketViewer!$Q$7:$Q$122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6-498A-861E-7EA832C3EBD8}"/>
            </c:ext>
          </c:extLst>
        </c:ser>
        <c:ser>
          <c:idx val="3"/>
          <c:order val="3"/>
          <c:tx>
            <c:strRef>
              <c:f>MarketViewer!$R$6</c:f>
              <c:strCache>
                <c:ptCount val="1"/>
                <c:pt idx="0">
                  <c:v>AUDIaaCurve.FwdRates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MarketViewer!$R$7:$R$122</c:f>
              <c:numCache>
                <c:formatCode>0.00%</c:formatCode>
                <c:ptCount val="116"/>
                <c:pt idx="0">
                  <c:v>9.087122184930423E-3</c:v>
                </c:pt>
                <c:pt idx="1">
                  <c:v>1.1756727584593696E-2</c:v>
                </c:pt>
                <c:pt idx="2">
                  <c:v>1.2921573522508653E-2</c:v>
                </c:pt>
                <c:pt idx="3">
                  <c:v>1.3619322314743635E-2</c:v>
                </c:pt>
                <c:pt idx="4">
                  <c:v>1.606845830452731E-2</c:v>
                </c:pt>
                <c:pt idx="5">
                  <c:v>1.7251298066197965E-2</c:v>
                </c:pt>
                <c:pt idx="6">
                  <c:v>1.7251152209733837E-2</c:v>
                </c:pt>
                <c:pt idx="7">
                  <c:v>1.8067271360115121E-2</c:v>
                </c:pt>
                <c:pt idx="8">
                  <c:v>2.5922639482732511E-2</c:v>
                </c:pt>
                <c:pt idx="9">
                  <c:v>2.981739157435492E-2</c:v>
                </c:pt>
                <c:pt idx="10">
                  <c:v>3.0960305409532853E-2</c:v>
                </c:pt>
                <c:pt idx="11">
                  <c:v>3.247418912351812E-2</c:v>
                </c:pt>
                <c:pt idx="12">
                  <c:v>2.882130381741738E-2</c:v>
                </c:pt>
                <c:pt idx="13">
                  <c:v>2.704601225333627E-2</c:v>
                </c:pt>
                <c:pt idx="14">
                  <c:v>2.6907520535339503E-2</c:v>
                </c:pt>
                <c:pt idx="15">
                  <c:v>2.6601806430434503E-2</c:v>
                </c:pt>
                <c:pt idx="16">
                  <c:v>2.5881727073828076E-2</c:v>
                </c:pt>
                <c:pt idx="17">
                  <c:v>2.567620715248195E-2</c:v>
                </c:pt>
                <c:pt idx="18">
                  <c:v>2.6990229142761866E-2</c:v>
                </c:pt>
                <c:pt idx="19">
                  <c:v>2.6997612794833124E-2</c:v>
                </c:pt>
                <c:pt idx="20">
                  <c:v>2.7074953627357921E-2</c:v>
                </c:pt>
                <c:pt idx="21">
                  <c:v>2.7177858735587715E-2</c:v>
                </c:pt>
                <c:pt idx="22">
                  <c:v>2.7922165764654644E-2</c:v>
                </c:pt>
                <c:pt idx="23">
                  <c:v>2.9158568051611971E-2</c:v>
                </c:pt>
                <c:pt idx="24">
                  <c:v>2.9149737420566969E-2</c:v>
                </c:pt>
                <c:pt idx="25">
                  <c:v>2.9104416485415129E-2</c:v>
                </c:pt>
                <c:pt idx="26">
                  <c:v>2.8766001959240752E-2</c:v>
                </c:pt>
                <c:pt idx="27">
                  <c:v>2.8276148625315384E-2</c:v>
                </c:pt>
                <c:pt idx="28">
                  <c:v>2.8959457428249777E-2</c:v>
                </c:pt>
                <c:pt idx="29">
                  <c:v>2.9265016004928767E-2</c:v>
                </c:pt>
                <c:pt idx="30">
                  <c:v>2.8995863368496022E-2</c:v>
                </c:pt>
                <c:pt idx="31">
                  <c:v>2.8495555061583994E-2</c:v>
                </c:pt>
                <c:pt idx="32">
                  <c:v>2.7910646605304998E-2</c:v>
                </c:pt>
                <c:pt idx="33">
                  <c:v>2.6958395859210321E-2</c:v>
                </c:pt>
                <c:pt idx="34">
                  <c:v>2.7054536851902854E-2</c:v>
                </c:pt>
                <c:pt idx="35">
                  <c:v>2.7934356085796593E-2</c:v>
                </c:pt>
                <c:pt idx="36">
                  <c:v>2.7746638917183857E-2</c:v>
                </c:pt>
                <c:pt idx="37">
                  <c:v>2.6090868257323069E-2</c:v>
                </c:pt>
                <c:pt idx="38">
                  <c:v>2.7059577232376134E-2</c:v>
                </c:pt>
                <c:pt idx="39">
                  <c:v>2.8768852629031925E-2</c:v>
                </c:pt>
                <c:pt idx="40">
                  <c:v>2.986695040636141E-2</c:v>
                </c:pt>
                <c:pt idx="41">
                  <c:v>3.1649157631075356E-2</c:v>
                </c:pt>
                <c:pt idx="42">
                  <c:v>3.1648392708027662E-2</c:v>
                </c:pt>
                <c:pt idx="43">
                  <c:v>3.195060275948762E-2</c:v>
                </c:pt>
                <c:pt idx="44">
                  <c:v>3.4833068086350165E-2</c:v>
                </c:pt>
                <c:pt idx="45">
                  <c:v>3.622458940239609E-2</c:v>
                </c:pt>
                <c:pt idx="46">
                  <c:v>3.6223500343487341E-2</c:v>
                </c:pt>
                <c:pt idx="47">
                  <c:v>3.6222200684322248E-2</c:v>
                </c:pt>
                <c:pt idx="48">
                  <c:v>3.6224520698585568E-2</c:v>
                </c:pt>
                <c:pt idx="49">
                  <c:v>3.622458940239609E-2</c:v>
                </c:pt>
                <c:pt idx="50">
                  <c:v>3.622350034348823E-2</c:v>
                </c:pt>
                <c:pt idx="51">
                  <c:v>3.6222200684321353E-2</c:v>
                </c:pt>
                <c:pt idx="52">
                  <c:v>3.6860607076778476E-2</c:v>
                </c:pt>
                <c:pt idx="53">
                  <c:v>4.2731585141057772E-2</c:v>
                </c:pt>
                <c:pt idx="54">
                  <c:v>4.2729853630569387E-2</c:v>
                </c:pt>
                <c:pt idx="55">
                  <c:v>4.2729770226063585E-2</c:v>
                </c:pt>
                <c:pt idx="56">
                  <c:v>4.2731502633531031E-2</c:v>
                </c:pt>
                <c:pt idx="57">
                  <c:v>4.2731585141057772E-2</c:v>
                </c:pt>
                <c:pt idx="58">
                  <c:v>4.2729937045644165E-2</c:v>
                </c:pt>
                <c:pt idx="59">
                  <c:v>4.2707704706773986E-2</c:v>
                </c:pt>
                <c:pt idx="60">
                  <c:v>4.2518036719279971E-2</c:v>
                </c:pt>
                <c:pt idx="61">
                  <c:v>4.2424887078889376E-2</c:v>
                </c:pt>
                <c:pt idx="62">
                  <c:v>4.2423267916446968E-2</c:v>
                </c:pt>
                <c:pt idx="63">
                  <c:v>4.2421397872520354E-2</c:v>
                </c:pt>
                <c:pt idx="64">
                  <c:v>4.2424805221482426E-2</c:v>
                </c:pt>
                <c:pt idx="65">
                  <c:v>4.2424887078888494E-2</c:v>
                </c:pt>
                <c:pt idx="66">
                  <c:v>4.2423267916446079E-2</c:v>
                </c:pt>
                <c:pt idx="67">
                  <c:v>4.2421397872522158E-2</c:v>
                </c:pt>
                <c:pt idx="68">
                  <c:v>4.2398290907243362E-2</c:v>
                </c:pt>
                <c:pt idx="69">
                  <c:v>4.2153859555909987E-2</c:v>
                </c:pt>
                <c:pt idx="70">
                  <c:v>4.2152183571827227E-2</c:v>
                </c:pt>
                <c:pt idx="71">
                  <c:v>4.2152101405178673E-2</c:v>
                </c:pt>
                <c:pt idx="72">
                  <c:v>4.2153778273054214E-2</c:v>
                </c:pt>
                <c:pt idx="73">
                  <c:v>4.2153859555909105E-2</c:v>
                </c:pt>
                <c:pt idx="74">
                  <c:v>4.2152265748761533E-2</c:v>
                </c:pt>
                <c:pt idx="75">
                  <c:v>4.2012086722135376E-2</c:v>
                </c:pt>
                <c:pt idx="76">
                  <c:v>4.0504058598225506E-2</c:v>
                </c:pt>
                <c:pt idx="77">
                  <c:v>3.8049486216361471E-2</c:v>
                </c:pt>
                <c:pt idx="78">
                  <c:v>3.8048251987599153E-2</c:v>
                </c:pt>
                <c:pt idx="79">
                  <c:v>3.8046795294460423E-2</c:v>
                </c:pt>
                <c:pt idx="80">
                  <c:v>3.8049413639036446E-2</c:v>
                </c:pt>
                <c:pt idx="81">
                  <c:v>3.804948621636059E-2</c:v>
                </c:pt>
                <c:pt idx="82">
                  <c:v>3.8048251987600042E-2</c:v>
                </c:pt>
                <c:pt idx="83">
                  <c:v>3.8046795294460423E-2</c:v>
                </c:pt>
                <c:pt idx="84">
                  <c:v>3.8049413639036446E-2</c:v>
                </c:pt>
                <c:pt idx="85">
                  <c:v>3.8049486216361471E-2</c:v>
                </c:pt>
                <c:pt idx="86">
                  <c:v>3.8048178611958743E-2</c:v>
                </c:pt>
                <c:pt idx="87">
                  <c:v>3.8048105244683016E-2</c:v>
                </c:pt>
                <c:pt idx="88">
                  <c:v>3.8049413639036446E-2</c:v>
                </c:pt>
                <c:pt idx="89">
                  <c:v>3.8049486216359708E-2</c:v>
                </c:pt>
                <c:pt idx="90">
                  <c:v>3.8048251987599153E-2</c:v>
                </c:pt>
                <c:pt idx="91">
                  <c:v>3.8046795294459528E-2</c:v>
                </c:pt>
                <c:pt idx="92">
                  <c:v>3.8049413639036446E-2</c:v>
                </c:pt>
                <c:pt idx="93">
                  <c:v>3.8049486216359708E-2</c:v>
                </c:pt>
                <c:pt idx="94">
                  <c:v>3.804825198760093E-2</c:v>
                </c:pt>
                <c:pt idx="95">
                  <c:v>3.8046795294459528E-2</c:v>
                </c:pt>
                <c:pt idx="96">
                  <c:v>3.8049413639036446E-2</c:v>
                </c:pt>
                <c:pt idx="97">
                  <c:v>3.804948621636059E-2</c:v>
                </c:pt>
                <c:pt idx="98">
                  <c:v>3.8048251987600042E-2</c:v>
                </c:pt>
                <c:pt idx="99">
                  <c:v>3.7080493665834907E-2</c:v>
                </c:pt>
                <c:pt idx="100">
                  <c:v>2.8394908441977201E-2</c:v>
                </c:pt>
                <c:pt idx="101">
                  <c:v>2.8394960506807451E-2</c:v>
                </c:pt>
                <c:pt idx="102">
                  <c:v>2.8394338792480954E-2</c:v>
                </c:pt>
                <c:pt idx="103">
                  <c:v>2.8394286159584291E-2</c:v>
                </c:pt>
                <c:pt idx="104">
                  <c:v>2.8394908441978964E-2</c:v>
                </c:pt>
                <c:pt idx="105">
                  <c:v>2.8394960506808332E-2</c:v>
                </c:pt>
                <c:pt idx="106">
                  <c:v>2.83943914299928E-2</c:v>
                </c:pt>
                <c:pt idx="107">
                  <c:v>2.839366273233045E-2</c:v>
                </c:pt>
                <c:pt idx="108">
                  <c:v>2.8394908441978083E-2</c:v>
                </c:pt>
                <c:pt idx="109">
                  <c:v>2.8394960506807451E-2</c:v>
                </c:pt>
                <c:pt idx="110">
                  <c:v>2.83943914299928E-2</c:v>
                </c:pt>
                <c:pt idx="111">
                  <c:v>2.839366273233045E-2</c:v>
                </c:pt>
                <c:pt idx="112">
                  <c:v>2.8394908441977201E-2</c:v>
                </c:pt>
                <c:pt idx="113">
                  <c:v>2.8394960506808332E-2</c:v>
                </c:pt>
                <c:pt idx="114">
                  <c:v>2.83943914299928E-2</c:v>
                </c:pt>
                <c:pt idx="115">
                  <c:v>2.8393650906571349E-2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6-498A-861E-7EA832C3E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205536"/>
        <c:axId val="791207504"/>
      </c:lineChart>
      <c:dateAx>
        <c:axId val="7912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7504"/>
        <c:crosses val="autoZero"/>
        <c:auto val="0"/>
        <c:lblOffset val="100"/>
        <c:baseTimeUnit val="days"/>
        <c:majorUnit val="10"/>
      </c:dateAx>
      <c:valAx>
        <c:axId val="7912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</xdr:colOff>
      <xdr:row>0</xdr:row>
      <xdr:rowOff>180975</xdr:rowOff>
    </xdr:from>
    <xdr:to>
      <xdr:col>35</xdr:col>
      <xdr:colOff>466725</xdr:colOff>
      <xdr:row>45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F2099CA-5E96-4AD2-BE8B-D7597DF72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A2:V122"/>
  <sheetViews>
    <sheetView showGridLines="0" tabSelected="1" workbookViewId="0">
      <selection activeCell="O28" sqref="O28"/>
    </sheetView>
  </sheetViews>
  <sheetFormatPr defaultRowHeight="15" outlineLevelCol="1"/>
  <cols>
    <col min="1" max="1" width="21.5703125" customWidth="1"/>
    <col min="2" max="2" width="23" customWidth="1"/>
    <col min="3" max="3" width="2.7109375" customWidth="1"/>
    <col min="4" max="4" width="9.42578125" hidden="1" customWidth="1" outlineLevel="1"/>
    <col min="5" max="5" width="17.42578125" hidden="1" customWidth="1" outlineLevel="1"/>
    <col min="6" max="6" width="17.5703125" hidden="1" customWidth="1" outlineLevel="1"/>
    <col min="7" max="7" width="68.140625" hidden="1" customWidth="1" outlineLevel="1"/>
    <col min="8" max="8" width="9.140625" hidden="1" customWidth="1" outlineLevel="1"/>
    <col min="9" max="9" width="77" hidden="1" customWidth="1" outlineLevel="1"/>
    <col min="10" max="10" width="4.28515625" customWidth="1" collapsed="1"/>
    <col min="11" max="12" width="13.28515625" customWidth="1"/>
    <col min="13" max="13" width="3.140625" customWidth="1"/>
    <col min="14" max="14" width="14.28515625" style="17" customWidth="1"/>
    <col min="15" max="17" width="17.42578125" customWidth="1"/>
    <col min="18" max="18" width="17.42578125" style="19" customWidth="1"/>
    <col min="22" max="22" width="13.28515625" style="5" customWidth="1"/>
  </cols>
  <sheetData>
    <row r="2" spans="1:22">
      <c r="A2" s="6" t="s">
        <v>1</v>
      </c>
      <c r="B2" s="7">
        <v>44561</v>
      </c>
      <c r="D2" s="6" t="s">
        <v>5</v>
      </c>
      <c r="E2" s="6" t="s">
        <v>6</v>
      </c>
      <c r="F2" s="6" t="s">
        <v>32</v>
      </c>
      <c r="G2" s="6" t="s">
        <v>7</v>
      </c>
      <c r="H2" s="6" t="s">
        <v>8</v>
      </c>
      <c r="I2" s="6" t="s">
        <v>53</v>
      </c>
      <c r="K2" s="6" t="s">
        <v>34</v>
      </c>
      <c r="L2" s="26" t="s">
        <v>0</v>
      </c>
      <c r="N2" s="6" t="s">
        <v>45</v>
      </c>
      <c r="O2" s="15" t="s">
        <v>9</v>
      </c>
      <c r="P2" s="15" t="s">
        <v>10</v>
      </c>
      <c r="Q2" s="15" t="s">
        <v>13</v>
      </c>
      <c r="R2" s="15" t="s">
        <v>62</v>
      </c>
    </row>
    <row r="3" spans="1:22">
      <c r="A3" s="6" t="s">
        <v>2</v>
      </c>
      <c r="B3" s="8" t="str">
        <f>MarketCreate("baseMarket",valueDate,,buildItems,B6)</f>
        <v>baseMarket</v>
      </c>
      <c r="D3" s="11" t="b">
        <v>1</v>
      </c>
      <c r="E3" s="11" t="s">
        <v>23</v>
      </c>
      <c r="F3" s="11" t="s">
        <v>9</v>
      </c>
      <c r="G3" s="13" t="s">
        <v>15</v>
      </c>
      <c r="H3" s="11" t="s">
        <v>29</v>
      </c>
      <c r="I3" s="11"/>
      <c r="K3" s="6" t="s">
        <v>35</v>
      </c>
      <c r="L3" s="27">
        <v>55153</v>
      </c>
      <c r="N3" s="6" t="s">
        <v>41</v>
      </c>
      <c r="O3" s="16" t="s">
        <v>64</v>
      </c>
      <c r="P3" s="16" t="s">
        <v>42</v>
      </c>
      <c r="Q3" s="16" t="s">
        <v>52</v>
      </c>
      <c r="R3" s="16" t="s">
        <v>52</v>
      </c>
    </row>
    <row r="4" spans="1:22">
      <c r="D4" s="12" t="b">
        <v>1</v>
      </c>
      <c r="E4" s="12" t="s">
        <v>23</v>
      </c>
      <c r="F4" s="12" t="s">
        <v>10</v>
      </c>
      <c r="G4" s="14" t="s">
        <v>33</v>
      </c>
      <c r="H4" s="12" t="s">
        <v>29</v>
      </c>
      <c r="I4" s="12"/>
      <c r="K4" s="6" t="s">
        <v>37</v>
      </c>
      <c r="L4" s="15" t="s">
        <v>38</v>
      </c>
      <c r="N4" s="6" t="s">
        <v>43</v>
      </c>
      <c r="O4" s="15" t="s">
        <v>38</v>
      </c>
      <c r="P4" s="15" t="s">
        <v>38</v>
      </c>
      <c r="Q4" s="15" t="s">
        <v>38</v>
      </c>
      <c r="R4" s="15" t="s">
        <v>38</v>
      </c>
    </row>
    <row r="5" spans="1:22">
      <c r="A5" s="6" t="s">
        <v>3</v>
      </c>
      <c r="B5" s="15"/>
      <c r="D5" s="11" t="b">
        <v>1</v>
      </c>
      <c r="E5" s="11" t="s">
        <v>23</v>
      </c>
      <c r="F5" s="11" t="s">
        <v>11</v>
      </c>
      <c r="G5" s="13" t="s">
        <v>16</v>
      </c>
      <c r="H5" s="11" t="s">
        <v>30</v>
      </c>
      <c r="I5" s="11"/>
      <c r="K5" s="6" t="s">
        <v>40</v>
      </c>
      <c r="L5" s="16" t="s">
        <v>44</v>
      </c>
      <c r="O5" s="1">
        <v>1</v>
      </c>
      <c r="P5" s="1">
        <v>0</v>
      </c>
      <c r="Q5" s="1">
        <v>0</v>
      </c>
      <c r="R5" s="18">
        <v>1</v>
      </c>
    </row>
    <row r="6" spans="1:22">
      <c r="A6" s="6" t="s">
        <v>4</v>
      </c>
      <c r="B6" s="16" t="b">
        <v>1</v>
      </c>
      <c r="D6" s="12" t="b">
        <v>1</v>
      </c>
      <c r="E6" s="12" t="s">
        <v>23</v>
      </c>
      <c r="F6" s="12" t="s">
        <v>12</v>
      </c>
      <c r="G6" s="14" t="s">
        <v>17</v>
      </c>
      <c r="H6" s="12" t="s">
        <v>31</v>
      </c>
      <c r="I6" s="12"/>
      <c r="K6" s="6" t="s">
        <v>36</v>
      </c>
      <c r="L6" s="15" t="s">
        <v>39</v>
      </c>
      <c r="N6" s="6" t="str">
        <f t="array" ref="N6:N122">ScheduleCreate(L2,L3,L4,L5,L6)</f>
        <v>Dates</v>
      </c>
      <c r="O6" s="6">
        <f t="array" ref="O6:O122">IF(O5=1,MarketChartPoints(MarketHandle,O2,O3,N7:N122,O4),"")</f>
        <v>0</v>
      </c>
      <c r="P6" s="6" t="str">
        <f t="array" ref="P6:P122">IF(P5=1,MarketChartPoints(MarketHandle,P2,P3,N7:N122,P4),"")</f>
        <v/>
      </c>
      <c r="Q6" s="6" t="str">
        <f t="array" ref="Q6:Q122">IF(Q5=1,MarketChartPoints(MarketHandle,Q2,Q3,N7:N122,Q4),"")</f>
        <v/>
      </c>
      <c r="R6" s="6" t="str">
        <f t="array" ref="R6:R122">IF(R5=1,MarketChartPoints(MarketHandle,R2,R3,N7:N122,R4),"")</f>
        <v>AUDIaaCurve.FwdRates</v>
      </c>
    </row>
    <row r="7" spans="1:22">
      <c r="D7" s="11" t="b">
        <v>1</v>
      </c>
      <c r="E7" s="11" t="s">
        <v>23</v>
      </c>
      <c r="F7" s="11" t="s">
        <v>13</v>
      </c>
      <c r="G7" s="13" t="s">
        <v>18</v>
      </c>
      <c r="H7" s="11" t="s">
        <v>29</v>
      </c>
      <c r="I7" s="11" t="s">
        <v>54</v>
      </c>
      <c r="N7" s="20" t="str">
        <v>30/03/2022</v>
      </c>
      <c r="O7" s="21">
        <v>0</v>
      </c>
      <c r="P7" s="21" t="str">
        <v/>
      </c>
      <c r="Q7" s="21" t="str">
        <v/>
      </c>
      <c r="R7" s="22">
        <v>9.087122184930423E-3</v>
      </c>
      <c r="V7" s="1"/>
    </row>
    <row r="8" spans="1:22">
      <c r="D8" s="12" t="b">
        <v>1</v>
      </c>
      <c r="E8" s="12" t="s">
        <v>23</v>
      </c>
      <c r="F8" s="12" t="s">
        <v>14</v>
      </c>
      <c r="G8" s="14" t="s">
        <v>19</v>
      </c>
      <c r="H8" s="12" t="s">
        <v>29</v>
      </c>
      <c r="I8" s="12" t="s">
        <v>54</v>
      </c>
      <c r="N8" s="23" t="str">
        <v>30/06/2022</v>
      </c>
      <c r="O8" s="24">
        <v>0</v>
      </c>
      <c r="P8" s="24" t="str">
        <v/>
      </c>
      <c r="Q8" s="24" t="str">
        <v/>
      </c>
      <c r="R8" s="25">
        <v>1.1756727584593696E-2</v>
      </c>
      <c r="V8" s="1"/>
    </row>
    <row r="9" spans="1:22">
      <c r="A9" s="6" t="str">
        <f t="array" ref="A9:B20">MarketItems(B3)</f>
        <v>Currency|ItemType</v>
      </c>
      <c r="B9" s="6" t="str">
        <v>Items</v>
      </c>
      <c r="D9" s="11" t="b">
        <v>1</v>
      </c>
      <c r="E9" s="11" t="s">
        <v>23</v>
      </c>
      <c r="F9" s="11" t="s">
        <v>20</v>
      </c>
      <c r="G9" s="13" t="s">
        <v>26</v>
      </c>
      <c r="H9" s="11" t="s">
        <v>29</v>
      </c>
      <c r="I9" s="11" t="s">
        <v>55</v>
      </c>
      <c r="N9" s="20" t="str">
        <v>30/09/2022</v>
      </c>
      <c r="O9" s="21">
        <v>0</v>
      </c>
      <c r="P9" s="21" t="str">
        <v/>
      </c>
      <c r="Q9" s="21" t="str">
        <v/>
      </c>
      <c r="R9" s="22">
        <v>1.2921573522508653E-2</v>
      </c>
      <c r="V9" s="1"/>
    </row>
    <row r="10" spans="1:22">
      <c r="A10" s="9" t="str">
        <v>AUD|YieldCurve</v>
      </c>
      <c r="B10" s="9" t="str">
        <v>AUDBondGov</v>
      </c>
      <c r="D10" s="12" t="b">
        <v>1</v>
      </c>
      <c r="E10" s="12" t="s">
        <v>24</v>
      </c>
      <c r="F10" s="12" t="s">
        <v>21</v>
      </c>
      <c r="G10" s="14" t="s">
        <v>28</v>
      </c>
      <c r="H10" s="12" t="s">
        <v>29</v>
      </c>
      <c r="I10" s="12"/>
      <c r="N10" s="23" t="str">
        <v>30/12/2022</v>
      </c>
      <c r="O10" s="24">
        <v>0</v>
      </c>
      <c r="P10" s="24" t="str">
        <v/>
      </c>
      <c r="Q10" s="24" t="str">
        <v/>
      </c>
      <c r="R10" s="25">
        <v>1.3619322314743635E-2</v>
      </c>
      <c r="V10" s="1"/>
    </row>
    <row r="11" spans="1:22">
      <c r="A11" s="10" t="str">
        <v>AUD|YieldCurve</v>
      </c>
      <c r="B11" s="10" t="str">
        <v>AUDSwap</v>
      </c>
      <c r="D11" s="11" t="b">
        <v>1</v>
      </c>
      <c r="E11" s="11" t="s">
        <v>25</v>
      </c>
      <c r="F11" s="11" t="s">
        <v>22</v>
      </c>
      <c r="G11" s="13" t="s">
        <v>27</v>
      </c>
      <c r="H11" s="11" t="s">
        <v>29</v>
      </c>
      <c r="I11" s="11" t="s">
        <v>59</v>
      </c>
      <c r="N11" s="20" t="str">
        <v>30/03/2023</v>
      </c>
      <c r="O11" s="21">
        <v>0</v>
      </c>
      <c r="P11" s="21" t="str">
        <v/>
      </c>
      <c r="Q11" s="21" t="str">
        <v/>
      </c>
      <c r="R11" s="22">
        <v>1.606845830452731E-2</v>
      </c>
      <c r="V11" s="1"/>
    </row>
    <row r="12" spans="1:22">
      <c r="A12" s="9" t="str">
        <v>GBP|YieldCurve</v>
      </c>
      <c r="B12" s="9" t="str">
        <v>GBPOIS</v>
      </c>
      <c r="D12" s="12" t="b">
        <v>1</v>
      </c>
      <c r="E12" s="12" t="s">
        <v>56</v>
      </c>
      <c r="F12" s="12" t="s">
        <v>57</v>
      </c>
      <c r="G12" s="14" t="s">
        <v>58</v>
      </c>
      <c r="H12" s="12" t="s">
        <v>29</v>
      </c>
      <c r="I12" s="12" t="s">
        <v>60</v>
      </c>
      <c r="N12" s="23" t="str">
        <v>30/06/2023</v>
      </c>
      <c r="O12" s="24">
        <v>0</v>
      </c>
      <c r="P12" s="24" t="str">
        <v/>
      </c>
      <c r="Q12" s="24" t="str">
        <v/>
      </c>
      <c r="R12" s="25">
        <v>1.7251298066197965E-2</v>
      </c>
      <c r="V12" s="1"/>
    </row>
    <row r="13" spans="1:22">
      <c r="A13" s="10" t="str">
        <v>JPY|YieldCurve</v>
      </c>
      <c r="B13" s="10" t="str">
        <v>JPYOIS</v>
      </c>
      <c r="D13" s="11" t="b">
        <v>1</v>
      </c>
      <c r="E13" s="11" t="s">
        <v>61</v>
      </c>
      <c r="F13" s="11" t="s">
        <v>62</v>
      </c>
      <c r="G13" s="13"/>
      <c r="H13" s="11" t="s">
        <v>29</v>
      </c>
      <c r="I13" s="11" t="s">
        <v>63</v>
      </c>
      <c r="N13" s="20" t="str">
        <v>30/09/2023</v>
      </c>
      <c r="O13" s="21">
        <v>0</v>
      </c>
      <c r="P13" s="21" t="str">
        <v/>
      </c>
      <c r="Q13" s="21" t="str">
        <v/>
      </c>
      <c r="R13" s="22">
        <v>1.7251152209733837E-2</v>
      </c>
      <c r="V13" s="1"/>
    </row>
    <row r="14" spans="1:22">
      <c r="A14" s="9" t="str">
        <v>AUD|YieldCurve</v>
      </c>
      <c r="B14" s="9" t="str">
        <v>AUDSwap3m</v>
      </c>
      <c r="D14" s="12"/>
      <c r="E14" s="12"/>
      <c r="F14" s="12"/>
      <c r="G14" s="14"/>
      <c r="H14" s="12"/>
      <c r="I14" s="12"/>
      <c r="N14" s="23" t="str">
        <v>30/12/2023</v>
      </c>
      <c r="O14" s="24">
        <v>0</v>
      </c>
      <c r="P14" s="24" t="str">
        <v/>
      </c>
      <c r="Q14" s="24" t="str">
        <v/>
      </c>
      <c r="R14" s="25">
        <v>1.8067271360115121E-2</v>
      </c>
      <c r="V14" s="1"/>
    </row>
    <row r="15" spans="1:22">
      <c r="A15" s="10" t="str">
        <v>AUD|YieldCurve</v>
      </c>
      <c r="B15" s="10" t="str">
        <v>AUDSwap6m</v>
      </c>
      <c r="D15" s="11"/>
      <c r="E15" s="11"/>
      <c r="F15" s="11"/>
      <c r="G15" s="13"/>
      <c r="H15" s="11"/>
      <c r="I15" s="11"/>
      <c r="N15" s="20" t="str">
        <v>30/03/2024</v>
      </c>
      <c r="O15" s="21">
        <v>0</v>
      </c>
      <c r="P15" s="21" t="str">
        <v/>
      </c>
      <c r="Q15" s="21" t="str">
        <v/>
      </c>
      <c r="R15" s="22">
        <v>2.5922639482732511E-2</v>
      </c>
      <c r="V15" s="1"/>
    </row>
    <row r="16" spans="1:22">
      <c r="A16" s="9" t="str">
        <v>AUD|YieldCurve</v>
      </c>
      <c r="B16" s="9" t="str">
        <v>AUDSwap1m</v>
      </c>
      <c r="D16" s="12"/>
      <c r="E16" s="12"/>
      <c r="F16" s="12"/>
      <c r="G16" s="14"/>
      <c r="H16" s="12"/>
      <c r="I16" s="12"/>
      <c r="N16" s="23" t="str">
        <v>30/06/2024</v>
      </c>
      <c r="O16" s="24">
        <v>0</v>
      </c>
      <c r="P16" s="24" t="str">
        <v/>
      </c>
      <c r="Q16" s="24" t="str">
        <v/>
      </c>
      <c r="R16" s="25">
        <v>2.981739157435492E-2</v>
      </c>
      <c r="V16" s="1"/>
    </row>
    <row r="17" spans="1:22">
      <c r="A17" s="10" t="str">
        <v>AUD|IndexFixing</v>
      </c>
      <c r="B17" s="10" t="str">
        <v>AUCPI</v>
      </c>
      <c r="D17" s="11"/>
      <c r="E17" s="11"/>
      <c r="F17" s="11"/>
      <c r="G17" s="13"/>
      <c r="H17" s="11"/>
      <c r="I17" s="11"/>
      <c r="N17" s="20" t="str">
        <v>30/09/2024</v>
      </c>
      <c r="O17" s="21">
        <v>0</v>
      </c>
      <c r="P17" s="21" t="str">
        <v/>
      </c>
      <c r="Q17" s="21" t="str">
        <v/>
      </c>
      <c r="R17" s="22">
        <v>3.0960305409532853E-2</v>
      </c>
      <c r="V17" s="1"/>
    </row>
    <row r="18" spans="1:22">
      <c r="A18" s="9" t="str">
        <v>AUD|InflationCurve</v>
      </c>
      <c r="B18" s="9" t="str">
        <v>AUD.Bond.Gov.BEI</v>
      </c>
      <c r="D18" s="12"/>
      <c r="E18" s="12"/>
      <c r="F18" s="12"/>
      <c r="G18" s="14"/>
      <c r="H18" s="12"/>
      <c r="I18" s="12"/>
      <c r="J18" s="3"/>
      <c r="N18" s="23" t="str">
        <v>30/12/2024</v>
      </c>
      <c r="O18" s="24">
        <v>0</v>
      </c>
      <c r="P18" s="24" t="str">
        <v/>
      </c>
      <c r="Q18" s="24" t="str">
        <v/>
      </c>
      <c r="R18" s="25">
        <v>3.247418912351812E-2</v>
      </c>
      <c r="V18" s="1"/>
    </row>
    <row r="19" spans="1:22">
      <c r="A19" s="10" t="str">
        <v>AUD|PriceCurve</v>
      </c>
      <c r="B19" s="10" t="str">
        <v>IaaSpread</v>
      </c>
      <c r="D19" s="11"/>
      <c r="E19" s="11"/>
      <c r="F19" s="11"/>
      <c r="G19" s="13"/>
      <c r="H19" s="11"/>
      <c r="I19" s="11"/>
      <c r="J19" s="3"/>
      <c r="N19" s="20" t="str">
        <v>30/03/2025</v>
      </c>
      <c r="O19" s="21">
        <v>0</v>
      </c>
      <c r="P19" s="21" t="str">
        <v/>
      </c>
      <c r="Q19" s="21" t="str">
        <v/>
      </c>
      <c r="R19" s="22">
        <v>2.882130381741738E-2</v>
      </c>
      <c r="V19" s="1"/>
    </row>
    <row r="20" spans="1:22">
      <c r="A20" s="9" t="str">
        <v>AUD|SpreadYieldCurve</v>
      </c>
      <c r="B20" s="9" t="str">
        <v>AUDIaaCurve</v>
      </c>
      <c r="D20" s="12"/>
      <c r="E20" s="12"/>
      <c r="F20" s="12"/>
      <c r="G20" s="14"/>
      <c r="H20" s="12"/>
      <c r="I20" s="12"/>
      <c r="J20" s="3"/>
      <c r="N20" s="23" t="str">
        <v>30/06/2025</v>
      </c>
      <c r="O20" s="24">
        <v>0</v>
      </c>
      <c r="P20" s="24" t="str">
        <v/>
      </c>
      <c r="Q20" s="24" t="str">
        <v/>
      </c>
      <c r="R20" s="25">
        <v>2.704601225333627E-2</v>
      </c>
      <c r="V20" s="1"/>
    </row>
    <row r="21" spans="1:22">
      <c r="A21" s="10"/>
      <c r="B21" s="10"/>
      <c r="D21" s="11"/>
      <c r="E21" s="11"/>
      <c r="F21" s="11"/>
      <c r="G21" s="13"/>
      <c r="H21" s="11"/>
      <c r="I21" s="11"/>
      <c r="J21" s="3"/>
      <c r="N21" s="20" t="str">
        <v>30/09/2025</v>
      </c>
      <c r="O21" s="21">
        <v>0</v>
      </c>
      <c r="P21" s="21" t="str">
        <v/>
      </c>
      <c r="Q21" s="21" t="str">
        <v/>
      </c>
      <c r="R21" s="22">
        <v>2.6907520535339503E-2</v>
      </c>
      <c r="V21" s="1"/>
    </row>
    <row r="22" spans="1:22">
      <c r="A22" s="9"/>
      <c r="B22" s="9"/>
      <c r="D22" s="12"/>
      <c r="E22" s="12"/>
      <c r="F22" s="12"/>
      <c r="G22" s="14"/>
      <c r="H22" s="12"/>
      <c r="I22" s="12"/>
      <c r="J22" s="3"/>
      <c r="N22" s="23" t="str">
        <v>30/12/2025</v>
      </c>
      <c r="O22" s="24">
        <v>0</v>
      </c>
      <c r="P22" s="24" t="str">
        <v/>
      </c>
      <c r="Q22" s="24" t="str">
        <v/>
      </c>
      <c r="R22" s="25">
        <v>2.6601806430434503E-2</v>
      </c>
      <c r="V22" s="1"/>
    </row>
    <row r="23" spans="1:22">
      <c r="A23" s="10"/>
      <c r="B23" s="10"/>
      <c r="D23" s="11"/>
      <c r="E23" s="11"/>
      <c r="F23" s="11"/>
      <c r="G23" s="13"/>
      <c r="H23" s="11"/>
      <c r="I23" s="11"/>
      <c r="N23" s="20" t="str">
        <v>30/03/2026</v>
      </c>
      <c r="O23" s="21">
        <v>0</v>
      </c>
      <c r="P23" s="21" t="str">
        <v/>
      </c>
      <c r="Q23" s="21" t="str">
        <v/>
      </c>
      <c r="R23" s="22">
        <v>2.5881727073828076E-2</v>
      </c>
      <c r="V23" s="1"/>
    </row>
    <row r="24" spans="1:22">
      <c r="A24" s="9"/>
      <c r="B24" s="9"/>
      <c r="D24" s="12"/>
      <c r="E24" s="12"/>
      <c r="F24" s="12"/>
      <c r="G24" s="14"/>
      <c r="H24" s="12"/>
      <c r="I24" s="12"/>
      <c r="N24" s="23" t="str">
        <v>30/06/2026</v>
      </c>
      <c r="O24" s="24">
        <v>0</v>
      </c>
      <c r="P24" s="24" t="str">
        <v/>
      </c>
      <c r="Q24" s="24" t="str">
        <v/>
      </c>
      <c r="R24" s="25">
        <v>2.567620715248195E-2</v>
      </c>
      <c r="V24" s="1"/>
    </row>
    <row r="25" spans="1:22">
      <c r="A25" s="10"/>
      <c r="B25" s="10"/>
      <c r="D25" s="11"/>
      <c r="E25" s="11"/>
      <c r="F25" s="11"/>
      <c r="G25" s="13"/>
      <c r="H25" s="11"/>
      <c r="I25" s="11"/>
      <c r="N25" s="20" t="str">
        <v>30/09/2026</v>
      </c>
      <c r="O25" s="21">
        <v>0</v>
      </c>
      <c r="P25" s="21" t="str">
        <v/>
      </c>
      <c r="Q25" s="21" t="str">
        <v/>
      </c>
      <c r="R25" s="22">
        <v>2.6990229142761866E-2</v>
      </c>
      <c r="V25" s="1"/>
    </row>
    <row r="26" spans="1:22">
      <c r="A26" s="9"/>
      <c r="B26" s="9"/>
      <c r="G26" s="2"/>
      <c r="N26" s="23" t="str">
        <v>30/12/2026</v>
      </c>
      <c r="O26" s="24">
        <v>0</v>
      </c>
      <c r="P26" s="24" t="str">
        <v/>
      </c>
      <c r="Q26" s="24" t="str">
        <v/>
      </c>
      <c r="R26" s="25">
        <v>2.6997612794833124E-2</v>
      </c>
      <c r="V26" s="1"/>
    </row>
    <row r="27" spans="1:22">
      <c r="A27" s="10"/>
      <c r="B27" s="10"/>
      <c r="G27" s="2"/>
      <c r="N27" s="20" t="str">
        <v>30/03/2027</v>
      </c>
      <c r="O27" s="21">
        <v>0</v>
      </c>
      <c r="P27" s="21" t="str">
        <v/>
      </c>
      <c r="Q27" s="21" t="str">
        <v/>
      </c>
      <c r="R27" s="22">
        <v>2.7074953627357921E-2</v>
      </c>
      <c r="V27" s="1"/>
    </row>
    <row r="28" spans="1:22">
      <c r="A28" s="9"/>
      <c r="B28" s="9"/>
      <c r="G28" s="2"/>
      <c r="N28" s="23" t="str">
        <v>30/06/2027</v>
      </c>
      <c r="O28" s="24">
        <v>0</v>
      </c>
      <c r="P28" s="24" t="str">
        <v/>
      </c>
      <c r="Q28" s="24" t="str">
        <v/>
      </c>
      <c r="R28" s="25">
        <v>2.7177858735587715E-2</v>
      </c>
      <c r="V28" s="1"/>
    </row>
    <row r="29" spans="1:22">
      <c r="G29" s="2"/>
      <c r="N29" s="20" t="str">
        <v>30/09/2027</v>
      </c>
      <c r="O29" s="21">
        <v>0</v>
      </c>
      <c r="P29" s="21" t="str">
        <v/>
      </c>
      <c r="Q29" s="21" t="str">
        <v/>
      </c>
      <c r="R29" s="22">
        <v>2.7922165764654644E-2</v>
      </c>
      <c r="V29" s="1"/>
    </row>
    <row r="30" spans="1:22">
      <c r="G30" s="2"/>
      <c r="N30" s="23" t="str">
        <v>30/12/2027</v>
      </c>
      <c r="O30" s="24">
        <v>0</v>
      </c>
      <c r="P30" s="24" t="str">
        <v/>
      </c>
      <c r="Q30" s="24" t="str">
        <v/>
      </c>
      <c r="R30" s="25">
        <v>2.9158568051611971E-2</v>
      </c>
      <c r="V30" s="1"/>
    </row>
    <row r="31" spans="1:22">
      <c r="G31" s="2"/>
      <c r="N31" s="20" t="str">
        <v>30/03/2028</v>
      </c>
      <c r="O31" s="21">
        <v>0</v>
      </c>
      <c r="P31" s="21" t="str">
        <v/>
      </c>
      <c r="Q31" s="21" t="str">
        <v/>
      </c>
      <c r="R31" s="22">
        <v>2.9149737420566969E-2</v>
      </c>
      <c r="V31" s="1"/>
    </row>
    <row r="32" spans="1:22">
      <c r="G32" s="2"/>
      <c r="N32" s="23" t="str">
        <v>30/06/2028</v>
      </c>
      <c r="O32" s="24">
        <v>0</v>
      </c>
      <c r="P32" s="24" t="str">
        <v/>
      </c>
      <c r="Q32" s="24" t="str">
        <v/>
      </c>
      <c r="R32" s="25">
        <v>2.9104416485415129E-2</v>
      </c>
      <c r="V32" s="1"/>
    </row>
    <row r="33" spans="7:22">
      <c r="G33" s="2"/>
      <c r="N33" s="20" t="str">
        <v>30/09/2028</v>
      </c>
      <c r="O33" s="21">
        <v>0</v>
      </c>
      <c r="P33" s="21" t="str">
        <v/>
      </c>
      <c r="Q33" s="21" t="str">
        <v/>
      </c>
      <c r="R33" s="22">
        <v>2.8766001959240752E-2</v>
      </c>
      <c r="V33" s="1"/>
    </row>
    <row r="34" spans="7:22">
      <c r="G34" s="2"/>
      <c r="N34" s="23" t="str">
        <v>30/12/2028</v>
      </c>
      <c r="O34" s="24">
        <v>0</v>
      </c>
      <c r="P34" s="24" t="str">
        <v/>
      </c>
      <c r="Q34" s="24" t="str">
        <v/>
      </c>
      <c r="R34" s="25">
        <v>2.8276148625315384E-2</v>
      </c>
      <c r="V34" s="1"/>
    </row>
    <row r="35" spans="7:22">
      <c r="N35" s="20" t="str">
        <v>30/03/2029</v>
      </c>
      <c r="O35" s="21">
        <v>0</v>
      </c>
      <c r="P35" s="21" t="str">
        <v/>
      </c>
      <c r="Q35" s="21" t="str">
        <v/>
      </c>
      <c r="R35" s="22">
        <v>2.8959457428249777E-2</v>
      </c>
      <c r="V35" s="1"/>
    </row>
    <row r="36" spans="7:22">
      <c r="N36" s="23" t="str">
        <v>30/06/2029</v>
      </c>
      <c r="O36" s="24">
        <v>0</v>
      </c>
      <c r="P36" s="24" t="str">
        <v/>
      </c>
      <c r="Q36" s="24" t="str">
        <v/>
      </c>
      <c r="R36" s="25">
        <v>2.9265016004928767E-2</v>
      </c>
      <c r="V36" s="1"/>
    </row>
    <row r="37" spans="7:22">
      <c r="N37" s="20" t="str">
        <v>30/09/2029</v>
      </c>
      <c r="O37" s="21">
        <v>0</v>
      </c>
      <c r="P37" s="21" t="str">
        <v/>
      </c>
      <c r="Q37" s="21" t="str">
        <v/>
      </c>
      <c r="R37" s="22">
        <v>2.8995863368496022E-2</v>
      </c>
      <c r="V37" s="1"/>
    </row>
    <row r="38" spans="7:22">
      <c r="N38" s="23" t="str">
        <v>30/12/2029</v>
      </c>
      <c r="O38" s="24">
        <v>0</v>
      </c>
      <c r="P38" s="24" t="str">
        <v/>
      </c>
      <c r="Q38" s="24" t="str">
        <v/>
      </c>
      <c r="R38" s="25">
        <v>2.8495555061583994E-2</v>
      </c>
      <c r="V38" s="1"/>
    </row>
    <row r="39" spans="7:22">
      <c r="N39" s="20" t="str">
        <v>30/03/2030</v>
      </c>
      <c r="O39" s="21">
        <v>0</v>
      </c>
      <c r="P39" s="21" t="str">
        <v/>
      </c>
      <c r="Q39" s="21" t="str">
        <v/>
      </c>
      <c r="R39" s="22">
        <v>2.7910646605304998E-2</v>
      </c>
      <c r="V39" s="1"/>
    </row>
    <row r="40" spans="7:22">
      <c r="N40" s="23" t="str">
        <v>30/06/2030</v>
      </c>
      <c r="O40" s="24">
        <v>0</v>
      </c>
      <c r="P40" s="24" t="str">
        <v/>
      </c>
      <c r="Q40" s="24" t="str">
        <v/>
      </c>
      <c r="R40" s="25">
        <v>2.6958395859210321E-2</v>
      </c>
      <c r="V40" s="1"/>
    </row>
    <row r="41" spans="7:22">
      <c r="N41" s="20" t="str">
        <v>30/09/2030</v>
      </c>
      <c r="O41" s="21">
        <v>0</v>
      </c>
      <c r="P41" s="21" t="str">
        <v/>
      </c>
      <c r="Q41" s="21" t="str">
        <v/>
      </c>
      <c r="R41" s="22">
        <v>2.7054536851902854E-2</v>
      </c>
      <c r="V41" s="1"/>
    </row>
    <row r="42" spans="7:22">
      <c r="N42" s="23" t="str">
        <v>30/12/2030</v>
      </c>
      <c r="O42" s="24">
        <v>0</v>
      </c>
      <c r="P42" s="24" t="str">
        <v/>
      </c>
      <c r="Q42" s="24" t="str">
        <v/>
      </c>
      <c r="R42" s="25">
        <v>2.7934356085796593E-2</v>
      </c>
      <c r="V42" s="1"/>
    </row>
    <row r="43" spans="7:22">
      <c r="N43" s="20" t="str">
        <v>30/03/2031</v>
      </c>
      <c r="O43" s="21">
        <v>0</v>
      </c>
      <c r="P43" s="21" t="str">
        <v/>
      </c>
      <c r="Q43" s="21" t="str">
        <v/>
      </c>
      <c r="R43" s="22">
        <v>2.7746638917183857E-2</v>
      </c>
      <c r="V43" s="1"/>
    </row>
    <row r="44" spans="7:22">
      <c r="N44" s="23" t="str">
        <v>30/06/2031</v>
      </c>
      <c r="O44" s="24">
        <v>0</v>
      </c>
      <c r="P44" s="24" t="str">
        <v/>
      </c>
      <c r="Q44" s="24" t="str">
        <v/>
      </c>
      <c r="R44" s="25">
        <v>2.6090868257323069E-2</v>
      </c>
      <c r="V44" s="1"/>
    </row>
    <row r="45" spans="7:22">
      <c r="N45" s="20" t="str">
        <v>30/09/2031</v>
      </c>
      <c r="O45" s="21">
        <v>0</v>
      </c>
      <c r="P45" s="21" t="str">
        <v/>
      </c>
      <c r="Q45" s="21" t="str">
        <v/>
      </c>
      <c r="R45" s="22">
        <v>2.7059577232376134E-2</v>
      </c>
      <c r="V45" s="1"/>
    </row>
    <row r="46" spans="7:22">
      <c r="N46" s="23" t="str">
        <v>30/12/2031</v>
      </c>
      <c r="O46" s="24">
        <v>0</v>
      </c>
      <c r="P46" s="24" t="str">
        <v/>
      </c>
      <c r="Q46" s="24" t="str">
        <v/>
      </c>
      <c r="R46" s="25">
        <v>2.8768852629031925E-2</v>
      </c>
      <c r="V46" s="1"/>
    </row>
    <row r="47" spans="7:22">
      <c r="N47" s="20" t="str">
        <v>30/03/2032</v>
      </c>
      <c r="O47" s="21">
        <v>0</v>
      </c>
      <c r="P47" s="21" t="str">
        <v/>
      </c>
      <c r="Q47" s="21" t="str">
        <v/>
      </c>
      <c r="R47" s="22">
        <v>2.986695040636141E-2</v>
      </c>
      <c r="V47" s="1"/>
    </row>
    <row r="48" spans="7:22">
      <c r="N48" s="23" t="str">
        <v>30/06/2032</v>
      </c>
      <c r="O48" s="24">
        <v>0</v>
      </c>
      <c r="P48" s="24" t="str">
        <v/>
      </c>
      <c r="Q48" s="24" t="str">
        <v/>
      </c>
      <c r="R48" s="25">
        <v>3.1649157631075356E-2</v>
      </c>
      <c r="V48" s="1"/>
    </row>
    <row r="49" spans="14:22">
      <c r="N49" s="20" t="str">
        <v>30/09/2032</v>
      </c>
      <c r="O49" s="21">
        <v>0</v>
      </c>
      <c r="P49" s="21" t="str">
        <v/>
      </c>
      <c r="Q49" s="21" t="str">
        <v/>
      </c>
      <c r="R49" s="22">
        <v>3.1648392708027662E-2</v>
      </c>
      <c r="V49" s="1"/>
    </row>
    <row r="50" spans="14:22">
      <c r="N50" s="23" t="str">
        <v>30/12/2032</v>
      </c>
      <c r="O50" s="24">
        <v>0</v>
      </c>
      <c r="P50" s="24" t="str">
        <v/>
      </c>
      <c r="Q50" s="24" t="str">
        <v/>
      </c>
      <c r="R50" s="25">
        <v>3.195060275948762E-2</v>
      </c>
      <c r="V50" s="1"/>
    </row>
    <row r="51" spans="14:22">
      <c r="N51" s="20" t="str">
        <v>30/03/2033</v>
      </c>
      <c r="O51" s="21">
        <v>0</v>
      </c>
      <c r="P51" s="21" t="str">
        <v/>
      </c>
      <c r="Q51" s="21" t="str">
        <v/>
      </c>
      <c r="R51" s="22">
        <v>3.4833068086350165E-2</v>
      </c>
      <c r="V51" s="1"/>
    </row>
    <row r="52" spans="14:22">
      <c r="N52" s="23" t="str">
        <v>30/06/2033</v>
      </c>
      <c r="O52" s="24">
        <v>0</v>
      </c>
      <c r="P52" s="24" t="str">
        <v/>
      </c>
      <c r="Q52" s="24" t="str">
        <v/>
      </c>
      <c r="R52" s="25">
        <v>3.622458940239609E-2</v>
      </c>
      <c r="V52" s="1"/>
    </row>
    <row r="53" spans="14:22">
      <c r="N53" s="20" t="str">
        <v>30/09/2033</v>
      </c>
      <c r="O53" s="21">
        <v>0</v>
      </c>
      <c r="P53" s="21" t="str">
        <v/>
      </c>
      <c r="Q53" s="21" t="str">
        <v/>
      </c>
      <c r="R53" s="22">
        <v>3.6223500343487341E-2</v>
      </c>
      <c r="V53" s="1"/>
    </row>
    <row r="54" spans="14:22">
      <c r="N54" s="23" t="str">
        <v>30/12/2033</v>
      </c>
      <c r="O54" s="24">
        <v>0</v>
      </c>
      <c r="P54" s="24" t="str">
        <v/>
      </c>
      <c r="Q54" s="24" t="str">
        <v/>
      </c>
      <c r="R54" s="25">
        <v>3.6222200684322248E-2</v>
      </c>
      <c r="V54" s="1"/>
    </row>
    <row r="55" spans="14:22">
      <c r="N55" s="20" t="str">
        <v>30/03/2034</v>
      </c>
      <c r="O55" s="21">
        <v>0</v>
      </c>
      <c r="P55" s="21" t="str">
        <v/>
      </c>
      <c r="Q55" s="21" t="str">
        <v/>
      </c>
      <c r="R55" s="22">
        <v>3.6224520698585568E-2</v>
      </c>
      <c r="V55" s="1"/>
    </row>
    <row r="56" spans="14:22">
      <c r="N56" s="23" t="str">
        <v>30/06/2034</v>
      </c>
      <c r="O56" s="24">
        <v>0</v>
      </c>
      <c r="P56" s="24" t="str">
        <v/>
      </c>
      <c r="Q56" s="24" t="str">
        <v/>
      </c>
      <c r="R56" s="25">
        <v>3.622458940239609E-2</v>
      </c>
      <c r="V56" s="1"/>
    </row>
    <row r="57" spans="14:22">
      <c r="N57" s="20" t="str">
        <v>30/09/2034</v>
      </c>
      <c r="O57" s="21">
        <v>0</v>
      </c>
      <c r="P57" s="21" t="str">
        <v/>
      </c>
      <c r="Q57" s="21" t="str">
        <v/>
      </c>
      <c r="R57" s="22">
        <v>3.622350034348823E-2</v>
      </c>
      <c r="V57" s="1"/>
    </row>
    <row r="58" spans="14:22">
      <c r="N58" s="23" t="str">
        <v>30/12/2034</v>
      </c>
      <c r="O58" s="24">
        <v>0</v>
      </c>
      <c r="P58" s="24" t="str">
        <v/>
      </c>
      <c r="Q58" s="24" t="str">
        <v/>
      </c>
      <c r="R58" s="25">
        <v>3.6222200684321353E-2</v>
      </c>
      <c r="V58" s="1"/>
    </row>
    <row r="59" spans="14:22">
      <c r="N59" s="20" t="str">
        <v>30/03/2035</v>
      </c>
      <c r="O59" s="21">
        <v>0</v>
      </c>
      <c r="P59" s="21" t="str">
        <v/>
      </c>
      <c r="Q59" s="21" t="str">
        <v/>
      </c>
      <c r="R59" s="22">
        <v>3.6860607076778476E-2</v>
      </c>
      <c r="V59" s="1"/>
    </row>
    <row r="60" spans="14:22">
      <c r="N60" s="23" t="str">
        <v>30/06/2035</v>
      </c>
      <c r="O60" s="24">
        <v>0</v>
      </c>
      <c r="P60" s="24" t="str">
        <v/>
      </c>
      <c r="Q60" s="24" t="str">
        <v/>
      </c>
      <c r="R60" s="25">
        <v>4.2731585141057772E-2</v>
      </c>
      <c r="V60" s="1"/>
    </row>
    <row r="61" spans="14:22">
      <c r="N61" s="20" t="str">
        <v>30/09/2035</v>
      </c>
      <c r="O61" s="21">
        <v>0</v>
      </c>
      <c r="P61" s="21" t="str">
        <v/>
      </c>
      <c r="Q61" s="21" t="str">
        <v/>
      </c>
      <c r="R61" s="22">
        <v>4.2729853630569387E-2</v>
      </c>
      <c r="V61" s="1"/>
    </row>
    <row r="62" spans="14:22">
      <c r="N62" s="23" t="str">
        <v>30/12/2035</v>
      </c>
      <c r="O62" s="24">
        <v>0</v>
      </c>
      <c r="P62" s="24" t="str">
        <v/>
      </c>
      <c r="Q62" s="24" t="str">
        <v/>
      </c>
      <c r="R62" s="25">
        <v>4.2729770226063585E-2</v>
      </c>
      <c r="V62" s="1"/>
    </row>
    <row r="63" spans="14:22">
      <c r="N63" s="20" t="str">
        <v>30/03/2036</v>
      </c>
      <c r="O63" s="21">
        <v>0</v>
      </c>
      <c r="P63" s="21" t="str">
        <v/>
      </c>
      <c r="Q63" s="21" t="str">
        <v/>
      </c>
      <c r="R63" s="22">
        <v>4.2731502633531031E-2</v>
      </c>
      <c r="V63" s="1"/>
    </row>
    <row r="64" spans="14:22">
      <c r="N64" s="23" t="str">
        <v>30/06/2036</v>
      </c>
      <c r="O64" s="24">
        <v>0</v>
      </c>
      <c r="P64" s="24" t="str">
        <v/>
      </c>
      <c r="Q64" s="24" t="str">
        <v/>
      </c>
      <c r="R64" s="25">
        <v>4.2731585141057772E-2</v>
      </c>
      <c r="V64" s="1"/>
    </row>
    <row r="65" spans="14:22">
      <c r="N65" s="20" t="str">
        <v>30/09/2036</v>
      </c>
      <c r="O65" s="21">
        <v>0</v>
      </c>
      <c r="P65" s="21" t="str">
        <v/>
      </c>
      <c r="Q65" s="21" t="str">
        <v/>
      </c>
      <c r="R65" s="22">
        <v>4.2729937045644165E-2</v>
      </c>
      <c r="V65" s="1"/>
    </row>
    <row r="66" spans="14:22">
      <c r="N66" s="23" t="str">
        <v>30/12/2036</v>
      </c>
      <c r="O66" s="24">
        <v>0</v>
      </c>
      <c r="P66" s="24" t="str">
        <v/>
      </c>
      <c r="Q66" s="24" t="str">
        <v/>
      </c>
      <c r="R66" s="25">
        <v>4.2707704706773986E-2</v>
      </c>
      <c r="V66" s="1"/>
    </row>
    <row r="67" spans="14:22">
      <c r="N67" s="20" t="str">
        <v>30/03/2037</v>
      </c>
      <c r="O67" s="21">
        <v>0</v>
      </c>
      <c r="P67" s="21" t="str">
        <v/>
      </c>
      <c r="Q67" s="21" t="str">
        <v/>
      </c>
      <c r="R67" s="22">
        <v>4.2518036719279971E-2</v>
      </c>
      <c r="V67" s="1"/>
    </row>
    <row r="68" spans="14:22">
      <c r="N68" s="23" t="str">
        <v>30/06/2037</v>
      </c>
      <c r="O68" s="24">
        <v>0</v>
      </c>
      <c r="P68" s="24" t="str">
        <v/>
      </c>
      <c r="Q68" s="24" t="str">
        <v/>
      </c>
      <c r="R68" s="25">
        <v>4.2424887078889376E-2</v>
      </c>
      <c r="V68" s="1"/>
    </row>
    <row r="69" spans="14:22">
      <c r="N69" s="20" t="str">
        <v>30/09/2037</v>
      </c>
      <c r="O69" s="21">
        <v>0</v>
      </c>
      <c r="P69" s="21" t="str">
        <v/>
      </c>
      <c r="Q69" s="21" t="str">
        <v/>
      </c>
      <c r="R69" s="22">
        <v>4.2423267916446968E-2</v>
      </c>
      <c r="V69" s="1"/>
    </row>
    <row r="70" spans="14:22">
      <c r="N70" s="23" t="str">
        <v>30/12/2037</v>
      </c>
      <c r="O70" s="24">
        <v>0</v>
      </c>
      <c r="P70" s="24" t="str">
        <v/>
      </c>
      <c r="Q70" s="24" t="str">
        <v/>
      </c>
      <c r="R70" s="25">
        <v>4.2421397872520354E-2</v>
      </c>
      <c r="V70" s="1"/>
    </row>
    <row r="71" spans="14:22">
      <c r="N71" s="20" t="str">
        <v>30/03/2038</v>
      </c>
      <c r="O71" s="21">
        <v>0</v>
      </c>
      <c r="P71" s="21" t="str">
        <v/>
      </c>
      <c r="Q71" s="21" t="str">
        <v/>
      </c>
      <c r="R71" s="22">
        <v>4.2424805221482426E-2</v>
      </c>
      <c r="V71" s="1"/>
    </row>
    <row r="72" spans="14:22">
      <c r="N72" s="23" t="str">
        <v>30/06/2038</v>
      </c>
      <c r="O72" s="24">
        <v>0</v>
      </c>
      <c r="P72" s="24" t="str">
        <v/>
      </c>
      <c r="Q72" s="24" t="str">
        <v/>
      </c>
      <c r="R72" s="25">
        <v>4.2424887078888494E-2</v>
      </c>
      <c r="V72" s="1"/>
    </row>
    <row r="73" spans="14:22">
      <c r="N73" s="20" t="str">
        <v>30/09/2038</v>
      </c>
      <c r="O73" s="21">
        <v>0</v>
      </c>
      <c r="P73" s="21" t="str">
        <v/>
      </c>
      <c r="Q73" s="21" t="str">
        <v/>
      </c>
      <c r="R73" s="22">
        <v>4.2423267916446079E-2</v>
      </c>
      <c r="V73" s="1"/>
    </row>
    <row r="74" spans="14:22">
      <c r="N74" s="23" t="str">
        <v>30/12/2038</v>
      </c>
      <c r="O74" s="24">
        <v>0</v>
      </c>
      <c r="P74" s="24" t="str">
        <v/>
      </c>
      <c r="Q74" s="24" t="str">
        <v/>
      </c>
      <c r="R74" s="25">
        <v>4.2421397872522158E-2</v>
      </c>
      <c r="V74" s="1"/>
    </row>
    <row r="75" spans="14:22">
      <c r="N75" s="20" t="str">
        <v>30/03/2039</v>
      </c>
      <c r="O75" s="21">
        <v>0</v>
      </c>
      <c r="P75" s="21" t="str">
        <v/>
      </c>
      <c r="Q75" s="21" t="str">
        <v/>
      </c>
      <c r="R75" s="22">
        <v>4.2398290907243362E-2</v>
      </c>
      <c r="V75" s="1"/>
    </row>
    <row r="76" spans="14:22">
      <c r="N76" s="23" t="str">
        <v>30/06/2039</v>
      </c>
      <c r="O76" s="24">
        <v>0</v>
      </c>
      <c r="P76" s="24" t="str">
        <v/>
      </c>
      <c r="Q76" s="24" t="str">
        <v/>
      </c>
      <c r="R76" s="25">
        <v>4.2153859555909987E-2</v>
      </c>
      <c r="V76" s="1"/>
    </row>
    <row r="77" spans="14:22">
      <c r="N77" s="20" t="str">
        <v>30/09/2039</v>
      </c>
      <c r="O77" s="21">
        <v>0</v>
      </c>
      <c r="P77" s="21" t="str">
        <v/>
      </c>
      <c r="Q77" s="21" t="str">
        <v/>
      </c>
      <c r="R77" s="22">
        <v>4.2152183571827227E-2</v>
      </c>
      <c r="V77" s="1"/>
    </row>
    <row r="78" spans="14:22">
      <c r="N78" s="23" t="str">
        <v>30/12/2039</v>
      </c>
      <c r="O78" s="24">
        <v>0</v>
      </c>
      <c r="P78" s="24" t="str">
        <v/>
      </c>
      <c r="Q78" s="24" t="str">
        <v/>
      </c>
      <c r="R78" s="25">
        <v>4.2152101405178673E-2</v>
      </c>
      <c r="V78" s="1"/>
    </row>
    <row r="79" spans="14:22">
      <c r="N79" s="20" t="str">
        <v>30/03/2040</v>
      </c>
      <c r="O79" s="21">
        <v>0</v>
      </c>
      <c r="P79" s="21" t="str">
        <v/>
      </c>
      <c r="Q79" s="21" t="str">
        <v/>
      </c>
      <c r="R79" s="22">
        <v>4.2153778273054214E-2</v>
      </c>
      <c r="V79" s="1"/>
    </row>
    <row r="80" spans="14:22">
      <c r="N80" s="23" t="str">
        <v>30/06/2040</v>
      </c>
      <c r="O80" s="24">
        <v>0</v>
      </c>
      <c r="P80" s="24" t="str">
        <v/>
      </c>
      <c r="Q80" s="24" t="str">
        <v/>
      </c>
      <c r="R80" s="25">
        <v>4.2153859555909105E-2</v>
      </c>
      <c r="V80" s="1"/>
    </row>
    <row r="81" spans="14:22">
      <c r="N81" s="20" t="str">
        <v>30/09/2040</v>
      </c>
      <c r="O81" s="21">
        <v>0</v>
      </c>
      <c r="P81" s="21" t="str">
        <v/>
      </c>
      <c r="Q81" s="21" t="str">
        <v/>
      </c>
      <c r="R81" s="22">
        <v>4.2152265748761533E-2</v>
      </c>
      <c r="V81" s="1"/>
    </row>
    <row r="82" spans="14:22">
      <c r="N82" s="23" t="str">
        <v>30/12/2040</v>
      </c>
      <c r="O82" s="24">
        <v>0</v>
      </c>
      <c r="P82" s="24" t="str">
        <v/>
      </c>
      <c r="Q82" s="24" t="str">
        <v/>
      </c>
      <c r="R82" s="25">
        <v>4.2012086722135376E-2</v>
      </c>
      <c r="V82" s="1"/>
    </row>
    <row r="83" spans="14:22">
      <c r="N83" s="20" t="str">
        <v>30/03/2041</v>
      </c>
      <c r="O83" s="21">
        <v>0</v>
      </c>
      <c r="P83" s="21" t="str">
        <v/>
      </c>
      <c r="Q83" s="21" t="str">
        <v/>
      </c>
      <c r="R83" s="22">
        <v>4.0504058598225506E-2</v>
      </c>
      <c r="V83" s="1"/>
    </row>
    <row r="84" spans="14:22">
      <c r="N84" s="23" t="str">
        <v>30/06/2041</v>
      </c>
      <c r="O84" s="24">
        <v>0</v>
      </c>
      <c r="P84" s="24" t="str">
        <v/>
      </c>
      <c r="Q84" s="24" t="str">
        <v/>
      </c>
      <c r="R84" s="25">
        <v>3.8049486216361471E-2</v>
      </c>
      <c r="V84" s="1"/>
    </row>
    <row r="85" spans="14:22">
      <c r="N85" s="20" t="str">
        <v>30/09/2041</v>
      </c>
      <c r="O85" s="21">
        <v>0</v>
      </c>
      <c r="P85" s="21" t="str">
        <v/>
      </c>
      <c r="Q85" s="21" t="str">
        <v/>
      </c>
      <c r="R85" s="22">
        <v>3.8048251987599153E-2</v>
      </c>
      <c r="V85" s="1"/>
    </row>
    <row r="86" spans="14:22">
      <c r="N86" s="23" t="str">
        <v>30/12/2041</v>
      </c>
      <c r="O86" s="24">
        <v>0</v>
      </c>
      <c r="P86" s="24" t="str">
        <v/>
      </c>
      <c r="Q86" s="24" t="str">
        <v/>
      </c>
      <c r="R86" s="25">
        <v>3.8046795294460423E-2</v>
      </c>
      <c r="V86" s="1"/>
    </row>
    <row r="87" spans="14:22">
      <c r="N87" s="20" t="str">
        <v>30/03/2042</v>
      </c>
      <c r="O87" s="21">
        <v>0</v>
      </c>
      <c r="P87" s="21" t="str">
        <v/>
      </c>
      <c r="Q87" s="21" t="str">
        <v/>
      </c>
      <c r="R87" s="22">
        <v>3.8049413639036446E-2</v>
      </c>
      <c r="V87" s="1"/>
    </row>
    <row r="88" spans="14:22">
      <c r="N88" s="23" t="str">
        <v>30/06/2042</v>
      </c>
      <c r="O88" s="24">
        <v>0</v>
      </c>
      <c r="P88" s="24" t="str">
        <v/>
      </c>
      <c r="Q88" s="24" t="str">
        <v/>
      </c>
      <c r="R88" s="25">
        <v>3.804948621636059E-2</v>
      </c>
      <c r="V88" s="1"/>
    </row>
    <row r="89" spans="14:22">
      <c r="N89" s="20" t="str">
        <v>30/09/2042</v>
      </c>
      <c r="O89" s="21">
        <v>0</v>
      </c>
      <c r="P89" s="21" t="str">
        <v/>
      </c>
      <c r="Q89" s="21" t="str">
        <v/>
      </c>
      <c r="R89" s="22">
        <v>3.8048251987600042E-2</v>
      </c>
      <c r="V89" s="1"/>
    </row>
    <row r="90" spans="14:22">
      <c r="N90" s="23" t="str">
        <v>30/12/2042</v>
      </c>
      <c r="O90" s="24">
        <v>0</v>
      </c>
      <c r="P90" s="24" t="str">
        <v/>
      </c>
      <c r="Q90" s="24" t="str">
        <v/>
      </c>
      <c r="R90" s="25">
        <v>3.8046795294460423E-2</v>
      </c>
      <c r="V90" s="1"/>
    </row>
    <row r="91" spans="14:22">
      <c r="N91" s="20" t="str">
        <v>30/03/2043</v>
      </c>
      <c r="O91" s="21">
        <v>0</v>
      </c>
      <c r="P91" s="21" t="str">
        <v/>
      </c>
      <c r="Q91" s="21" t="str">
        <v/>
      </c>
      <c r="R91" s="22">
        <v>3.8049413639036446E-2</v>
      </c>
      <c r="V91" s="1"/>
    </row>
    <row r="92" spans="14:22">
      <c r="N92" s="23" t="str">
        <v>30/06/2043</v>
      </c>
      <c r="O92" s="24">
        <v>0</v>
      </c>
      <c r="P92" s="24" t="str">
        <v/>
      </c>
      <c r="Q92" s="24" t="str">
        <v/>
      </c>
      <c r="R92" s="25">
        <v>3.8049486216361471E-2</v>
      </c>
      <c r="V92" s="1"/>
    </row>
    <row r="93" spans="14:22">
      <c r="N93" s="20" t="str">
        <v>30/09/2043</v>
      </c>
      <c r="O93" s="21">
        <v>0</v>
      </c>
      <c r="P93" s="21" t="str">
        <v/>
      </c>
      <c r="Q93" s="21" t="str">
        <v/>
      </c>
      <c r="R93" s="22">
        <v>3.8048178611958743E-2</v>
      </c>
      <c r="V93" s="1"/>
    </row>
    <row r="94" spans="14:22">
      <c r="N94" s="23" t="str">
        <v>30/12/2043</v>
      </c>
      <c r="O94" s="24">
        <v>0</v>
      </c>
      <c r="P94" s="24" t="str">
        <v/>
      </c>
      <c r="Q94" s="24" t="str">
        <v/>
      </c>
      <c r="R94" s="25">
        <v>3.8048105244683016E-2</v>
      </c>
      <c r="V94" s="1"/>
    </row>
    <row r="95" spans="14:22">
      <c r="N95" s="20" t="str">
        <v>30/03/2044</v>
      </c>
      <c r="O95" s="21">
        <v>0</v>
      </c>
      <c r="P95" s="21" t="str">
        <v/>
      </c>
      <c r="Q95" s="21" t="str">
        <v/>
      </c>
      <c r="R95" s="22">
        <v>3.8049413639036446E-2</v>
      </c>
      <c r="V95" s="1"/>
    </row>
    <row r="96" spans="14:22">
      <c r="N96" s="23" t="str">
        <v>30/06/2044</v>
      </c>
      <c r="O96" s="24">
        <v>0</v>
      </c>
      <c r="P96" s="24" t="str">
        <v/>
      </c>
      <c r="Q96" s="24" t="str">
        <v/>
      </c>
      <c r="R96" s="25">
        <v>3.8049486216359708E-2</v>
      </c>
      <c r="V96" s="1"/>
    </row>
    <row r="97" spans="14:22">
      <c r="N97" s="20" t="str">
        <v>30/09/2044</v>
      </c>
      <c r="O97" s="21">
        <v>0</v>
      </c>
      <c r="P97" s="21" t="str">
        <v/>
      </c>
      <c r="Q97" s="21" t="str">
        <v/>
      </c>
      <c r="R97" s="22">
        <v>3.8048251987599153E-2</v>
      </c>
      <c r="V97" s="1"/>
    </row>
    <row r="98" spans="14:22">
      <c r="N98" s="23" t="str">
        <v>30/12/2044</v>
      </c>
      <c r="O98" s="24">
        <v>0</v>
      </c>
      <c r="P98" s="24" t="str">
        <v/>
      </c>
      <c r="Q98" s="24" t="str">
        <v/>
      </c>
      <c r="R98" s="25">
        <v>3.8046795294459528E-2</v>
      </c>
      <c r="V98" s="1"/>
    </row>
    <row r="99" spans="14:22">
      <c r="N99" s="20" t="str">
        <v>30/03/2045</v>
      </c>
      <c r="O99" s="21">
        <v>0</v>
      </c>
      <c r="P99" s="21" t="str">
        <v/>
      </c>
      <c r="Q99" s="21" t="str">
        <v/>
      </c>
      <c r="R99" s="22">
        <v>3.8049413639036446E-2</v>
      </c>
      <c r="V99" s="1"/>
    </row>
    <row r="100" spans="14:22">
      <c r="N100" s="23" t="str">
        <v>30/06/2045</v>
      </c>
      <c r="O100" s="24">
        <v>0</v>
      </c>
      <c r="P100" s="24" t="str">
        <v/>
      </c>
      <c r="Q100" s="24" t="str">
        <v/>
      </c>
      <c r="R100" s="25">
        <v>3.8049486216359708E-2</v>
      </c>
      <c r="V100" s="1"/>
    </row>
    <row r="101" spans="14:22">
      <c r="N101" s="20" t="str">
        <v>30/09/2045</v>
      </c>
      <c r="O101" s="21">
        <v>0</v>
      </c>
      <c r="P101" s="21" t="str">
        <v/>
      </c>
      <c r="Q101" s="21" t="str">
        <v/>
      </c>
      <c r="R101" s="22">
        <v>3.804825198760093E-2</v>
      </c>
      <c r="V101" s="1"/>
    </row>
    <row r="102" spans="14:22">
      <c r="N102" s="23" t="str">
        <v>30/12/2045</v>
      </c>
      <c r="O102" s="24">
        <v>0</v>
      </c>
      <c r="P102" s="24" t="str">
        <v/>
      </c>
      <c r="Q102" s="24" t="str">
        <v/>
      </c>
      <c r="R102" s="25">
        <v>3.8046795294459528E-2</v>
      </c>
      <c r="V102" s="1"/>
    </row>
    <row r="103" spans="14:22">
      <c r="N103" s="20" t="str">
        <v>30/03/2046</v>
      </c>
      <c r="O103" s="21">
        <v>0</v>
      </c>
      <c r="P103" s="21" t="str">
        <v/>
      </c>
      <c r="Q103" s="21" t="str">
        <v/>
      </c>
      <c r="R103" s="22">
        <v>3.8049413639036446E-2</v>
      </c>
      <c r="V103" s="1"/>
    </row>
    <row r="104" spans="14:22">
      <c r="N104" s="23" t="str">
        <v>30/06/2046</v>
      </c>
      <c r="O104" s="24">
        <v>0</v>
      </c>
      <c r="P104" s="24" t="str">
        <v/>
      </c>
      <c r="Q104" s="24" t="str">
        <v/>
      </c>
      <c r="R104" s="25">
        <v>3.804948621636059E-2</v>
      </c>
      <c r="V104" s="1"/>
    </row>
    <row r="105" spans="14:22">
      <c r="N105" s="20" t="str">
        <v>30/09/2046</v>
      </c>
      <c r="O105" s="21">
        <v>0</v>
      </c>
      <c r="P105" s="21" t="str">
        <v/>
      </c>
      <c r="Q105" s="21" t="str">
        <v/>
      </c>
      <c r="R105" s="22">
        <v>3.8048251987600042E-2</v>
      </c>
      <c r="V105" s="1"/>
    </row>
    <row r="106" spans="14:22">
      <c r="N106" s="23" t="str">
        <v>30/12/2046</v>
      </c>
      <c r="O106" s="24">
        <v>0</v>
      </c>
      <c r="P106" s="24" t="str">
        <v/>
      </c>
      <c r="Q106" s="24" t="str">
        <v/>
      </c>
      <c r="R106" s="25">
        <v>3.7080493665834907E-2</v>
      </c>
      <c r="V106" s="1"/>
    </row>
    <row r="107" spans="14:22">
      <c r="N107" s="20" t="str">
        <v>30/03/2047</v>
      </c>
      <c r="O107" s="21">
        <v>0</v>
      </c>
      <c r="P107" s="21" t="str">
        <v/>
      </c>
      <c r="Q107" s="21" t="str">
        <v/>
      </c>
      <c r="R107" s="22">
        <v>2.8394908441977201E-2</v>
      </c>
      <c r="V107" s="1"/>
    </row>
    <row r="108" spans="14:22">
      <c r="N108" s="23" t="str">
        <v>30/06/2047</v>
      </c>
      <c r="O108" s="24">
        <v>0</v>
      </c>
      <c r="P108" s="24" t="str">
        <v/>
      </c>
      <c r="Q108" s="24" t="str">
        <v/>
      </c>
      <c r="R108" s="25">
        <v>2.8394960506807451E-2</v>
      </c>
      <c r="V108" s="1"/>
    </row>
    <row r="109" spans="14:22">
      <c r="N109" s="20" t="str">
        <v>30/09/2047</v>
      </c>
      <c r="O109" s="21">
        <v>0</v>
      </c>
      <c r="P109" s="21" t="str">
        <v/>
      </c>
      <c r="Q109" s="21" t="str">
        <v/>
      </c>
      <c r="R109" s="22">
        <v>2.8394338792480954E-2</v>
      </c>
      <c r="V109" s="1"/>
    </row>
    <row r="110" spans="14:22">
      <c r="N110" s="23" t="str">
        <v>30/12/2047</v>
      </c>
      <c r="O110" s="24">
        <v>0</v>
      </c>
      <c r="P110" s="24" t="str">
        <v/>
      </c>
      <c r="Q110" s="24" t="str">
        <v/>
      </c>
      <c r="R110" s="25">
        <v>2.8394286159584291E-2</v>
      </c>
      <c r="V110" s="1"/>
    </row>
    <row r="111" spans="14:22">
      <c r="N111" s="20" t="str">
        <v>30/03/2048</v>
      </c>
      <c r="O111" s="21">
        <v>0</v>
      </c>
      <c r="P111" s="21" t="str">
        <v/>
      </c>
      <c r="Q111" s="21" t="str">
        <v/>
      </c>
      <c r="R111" s="22">
        <v>2.8394908441978964E-2</v>
      </c>
      <c r="V111" s="1"/>
    </row>
    <row r="112" spans="14:22">
      <c r="N112" s="23" t="str">
        <v>30/06/2048</v>
      </c>
      <c r="O112" s="24">
        <v>0</v>
      </c>
      <c r="P112" s="24" t="str">
        <v/>
      </c>
      <c r="Q112" s="24" t="str">
        <v/>
      </c>
      <c r="R112" s="25">
        <v>2.8394960506808332E-2</v>
      </c>
      <c r="V112" s="1"/>
    </row>
    <row r="113" spans="14:22">
      <c r="N113" s="20" t="str">
        <v>30/09/2048</v>
      </c>
      <c r="O113" s="21">
        <v>0</v>
      </c>
      <c r="P113" s="21" t="str">
        <v/>
      </c>
      <c r="Q113" s="21" t="str">
        <v/>
      </c>
      <c r="R113" s="22">
        <v>2.83943914299928E-2</v>
      </c>
      <c r="V113" s="1"/>
    </row>
    <row r="114" spans="14:22">
      <c r="N114" s="23" t="str">
        <v>30/12/2048</v>
      </c>
      <c r="O114" s="24">
        <v>0</v>
      </c>
      <c r="P114" s="24" t="str">
        <v/>
      </c>
      <c r="Q114" s="24" t="str">
        <v/>
      </c>
      <c r="R114" s="25">
        <v>2.839366273233045E-2</v>
      </c>
      <c r="V114" s="1"/>
    </row>
    <row r="115" spans="14:22">
      <c r="N115" s="20" t="str">
        <v>30/03/2049</v>
      </c>
      <c r="O115" s="21">
        <v>0</v>
      </c>
      <c r="P115" s="21" t="str">
        <v/>
      </c>
      <c r="Q115" s="21" t="str">
        <v/>
      </c>
      <c r="R115" s="22">
        <v>2.8394908441978083E-2</v>
      </c>
      <c r="V115" s="1"/>
    </row>
    <row r="116" spans="14:22">
      <c r="N116" s="23" t="str">
        <v>30/06/2049</v>
      </c>
      <c r="O116" s="24">
        <v>0</v>
      </c>
      <c r="P116" s="24" t="str">
        <v/>
      </c>
      <c r="Q116" s="24" t="str">
        <v/>
      </c>
      <c r="R116" s="25">
        <v>2.8394960506807451E-2</v>
      </c>
      <c r="V116" s="1"/>
    </row>
    <row r="117" spans="14:22">
      <c r="N117" s="20" t="str">
        <v>30/09/2049</v>
      </c>
      <c r="O117" s="21">
        <v>0</v>
      </c>
      <c r="P117" s="21" t="str">
        <v/>
      </c>
      <c r="Q117" s="21" t="str">
        <v/>
      </c>
      <c r="R117" s="22">
        <v>2.83943914299928E-2</v>
      </c>
      <c r="V117" s="1"/>
    </row>
    <row r="118" spans="14:22">
      <c r="N118" s="23" t="str">
        <v>30/12/2049</v>
      </c>
      <c r="O118" s="24">
        <v>0</v>
      </c>
      <c r="P118" s="24" t="str">
        <v/>
      </c>
      <c r="Q118" s="24" t="str">
        <v/>
      </c>
      <c r="R118" s="25">
        <v>2.839366273233045E-2</v>
      </c>
      <c r="V118" s="1"/>
    </row>
    <row r="119" spans="14:22">
      <c r="N119" s="20" t="str">
        <v>30/03/2050</v>
      </c>
      <c r="O119" s="21">
        <v>0</v>
      </c>
      <c r="P119" s="21" t="str">
        <v/>
      </c>
      <c r="Q119" s="21" t="str">
        <v/>
      </c>
      <c r="R119" s="22">
        <v>2.8394908441977201E-2</v>
      </c>
      <c r="V119" s="1"/>
    </row>
    <row r="120" spans="14:22">
      <c r="N120" s="23" t="str">
        <v>30/06/2050</v>
      </c>
      <c r="O120" s="24">
        <v>0</v>
      </c>
      <c r="P120" s="24" t="str">
        <v/>
      </c>
      <c r="Q120" s="24" t="str">
        <v/>
      </c>
      <c r="R120" s="25">
        <v>2.8394960506808332E-2</v>
      </c>
      <c r="V120" s="1"/>
    </row>
    <row r="121" spans="14:22">
      <c r="N121" s="20" t="str">
        <v>30/09/2050</v>
      </c>
      <c r="O121" s="21">
        <v>0</v>
      </c>
      <c r="P121" s="21" t="str">
        <v/>
      </c>
      <c r="Q121" s="21" t="str">
        <v/>
      </c>
      <c r="R121" s="22">
        <v>2.83943914299928E-2</v>
      </c>
      <c r="V121" s="1"/>
    </row>
    <row r="122" spans="14:22">
      <c r="N122" s="23" t="str">
        <v>31/12/2050</v>
      </c>
      <c r="O122" s="24">
        <v>0</v>
      </c>
      <c r="P122" s="24" t="str">
        <v/>
      </c>
      <c r="Q122" s="24" t="str">
        <v/>
      </c>
      <c r="R122" s="25">
        <v>2.8393650906571349E-2</v>
      </c>
      <c r="V122" s="1"/>
    </row>
  </sheetData>
  <phoneticPr fontId="1" type="noConversion"/>
  <dataValidations count="2">
    <dataValidation type="list" allowBlank="1" showInputMessage="1" showErrorMessage="1" sqref="O3:R3" xr:uid="{F048E900-382F-477D-B317-B4544D02416E}">
      <formula1>"zero,df,fwd,swaprate"</formula1>
    </dataValidation>
    <dataValidation type="list" allowBlank="1" showInputMessage="1" showErrorMessage="1" sqref="S3 O2:R2" xr:uid="{229DE78D-10AA-4872-BA70-E71683A03D0D}">
      <formula1>$B$10:$B$28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30FCA-EA15-48CD-BB55-7065C6674A8F}">
  <sheetPr codeName="Sheet2"/>
  <dimension ref="A2:E29"/>
  <sheetViews>
    <sheetView workbookViewId="0">
      <selection activeCell="E23" sqref="E23"/>
    </sheetView>
  </sheetViews>
  <sheetFormatPr defaultRowHeight="15"/>
  <cols>
    <col min="1" max="1" width="15.140625" customWidth="1"/>
    <col min="2" max="2" width="15.5703125" customWidth="1"/>
    <col min="4" max="4" width="21" customWidth="1"/>
    <col min="5" max="5" width="15" style="4" customWidth="1"/>
  </cols>
  <sheetData>
    <row r="2" spans="1:5">
      <c r="A2" s="6" t="s">
        <v>46</v>
      </c>
      <c r="B2" s="8" t="str">
        <f>MarketHandle</f>
        <v>baseMarket</v>
      </c>
      <c r="D2" s="6" t="str">
        <f t="array" ref="D2:E22">MarketDv01AtEachPillar(B2,B3,B4,B5,B6)</f>
        <v>Pillar</v>
      </c>
      <c r="E2" s="6" t="str">
        <v>Delta</v>
      </c>
    </row>
    <row r="3" spans="1:5">
      <c r="A3" s="6" t="s">
        <v>51</v>
      </c>
      <c r="B3" s="15" t="s">
        <v>10</v>
      </c>
      <c r="D3" s="30" t="str">
        <v>AUDBILL1M</v>
      </c>
      <c r="E3" s="31">
        <v>-9.5888164808322074E-6</v>
      </c>
    </row>
    <row r="4" spans="1:5">
      <c r="A4" s="6" t="s">
        <v>48</v>
      </c>
      <c r="B4" s="16" t="s">
        <v>47</v>
      </c>
      <c r="D4" s="32" t="str">
        <v>AUDBILL2M</v>
      </c>
      <c r="E4" s="33">
        <v>-1.7259275931436058E-5</v>
      </c>
    </row>
    <row r="5" spans="1:5">
      <c r="A5" s="6" t="s">
        <v>49</v>
      </c>
      <c r="B5" s="28">
        <v>1E-4</v>
      </c>
      <c r="D5" s="30" t="str">
        <v>AUDBILL3M</v>
      </c>
      <c r="E5" s="31">
        <v>-2.5748612891396405E-5</v>
      </c>
    </row>
    <row r="6" spans="1:5">
      <c r="A6" s="6" t="s">
        <v>50</v>
      </c>
      <c r="B6" s="29">
        <v>1000000</v>
      </c>
      <c r="D6" s="32" t="str">
        <v>AUDBILL6M</v>
      </c>
      <c r="E6" s="33">
        <v>-5.0629875346208664E-5</v>
      </c>
    </row>
    <row r="7" spans="1:5">
      <c r="D7" s="30" t="str">
        <v>AUDSwap1Y</v>
      </c>
      <c r="E7" s="31">
        <v>-99.748357821488753</v>
      </c>
    </row>
    <row r="8" spans="1:5">
      <c r="D8" s="32" t="str">
        <v>AUDSwap2Y</v>
      </c>
      <c r="E8" s="33">
        <v>-197.94305809237994</v>
      </c>
    </row>
    <row r="9" spans="1:5">
      <c r="D9" s="30" t="str">
        <v>AUDSwap3Y</v>
      </c>
      <c r="E9" s="31">
        <v>-294.5588136020815</v>
      </c>
    </row>
    <row r="10" spans="1:5">
      <c r="D10" s="32" t="str">
        <v>AUDSwap4Y</v>
      </c>
      <c r="E10" s="33">
        <v>-386.76334642572328</v>
      </c>
    </row>
    <row r="11" spans="1:5">
      <c r="D11" s="30" t="str">
        <v>AUDSwap5Y</v>
      </c>
      <c r="E11" s="31">
        <v>-477.76730399706867</v>
      </c>
    </row>
    <row r="12" spans="1:5">
      <c r="D12" s="32" t="str">
        <v>AUDSwap6Y</v>
      </c>
      <c r="E12" s="33">
        <v>-566.78824759006966</v>
      </c>
    </row>
    <row r="13" spans="1:5">
      <c r="D13" s="30" t="str">
        <v>AUDSwap7Y</v>
      </c>
      <c r="E13" s="31">
        <v>-653.71595992299262</v>
      </c>
    </row>
    <row r="14" spans="1:5">
      <c r="D14" s="32" t="str">
        <v>AUDSwap8Y</v>
      </c>
      <c r="E14" s="33">
        <v>-738.35683261347003</v>
      </c>
    </row>
    <row r="15" spans="1:5">
      <c r="D15" s="30" t="str">
        <v>AUDSwap9Y</v>
      </c>
      <c r="E15" s="31">
        <v>-821.48353893635795</v>
      </c>
    </row>
    <row r="16" spans="1:5">
      <c r="D16" s="32" t="str">
        <v>AUDSwap10Y</v>
      </c>
      <c r="E16" s="33">
        <v>-901.69661608058959</v>
      </c>
    </row>
    <row r="17" spans="4:5">
      <c r="D17" s="30" t="str">
        <v>AUDSwap12Y</v>
      </c>
      <c r="E17" s="31">
        <v>-1056.6612493371358</v>
      </c>
    </row>
    <row r="18" spans="4:5">
      <c r="D18" s="32" t="str">
        <v>AUDSwap15Y</v>
      </c>
      <c r="E18" s="33">
        <v>-1275.7273853105726</v>
      </c>
    </row>
    <row r="19" spans="4:5">
      <c r="D19" s="30" t="str">
        <v>AUDSwap20Y</v>
      </c>
      <c r="E19" s="31">
        <v>-1613.3848035909468</v>
      </c>
    </row>
    <row r="20" spans="4:5">
      <c r="D20" s="32" t="str">
        <v>AUDSwap25Y</v>
      </c>
      <c r="E20" s="33">
        <v>-1928.89577074931</v>
      </c>
    </row>
    <row r="21" spans="4:5">
      <c r="D21" s="30" t="str">
        <v>AUDSwap30Y</v>
      </c>
      <c r="E21" s="31">
        <v>-2229.5275317305932</v>
      </c>
    </row>
    <row r="22" spans="4:5">
      <c r="D22" s="32" t="str">
        <v>AUDSwap50Y</v>
      </c>
      <c r="E22" s="33">
        <v>-3116.6808431810932</v>
      </c>
    </row>
    <row r="23" spans="4:5">
      <c r="D23" s="30"/>
      <c r="E23" s="31"/>
    </row>
    <row r="24" spans="4:5">
      <c r="D24" s="32"/>
      <c r="E24" s="33"/>
    </row>
    <row r="25" spans="4:5">
      <c r="D25" s="30"/>
      <c r="E25" s="31"/>
    </row>
    <row r="26" spans="4:5">
      <c r="D26" s="32"/>
      <c r="E26" s="33"/>
    </row>
    <row r="27" spans="4:5">
      <c r="D27" s="30"/>
      <c r="E27" s="31"/>
    </row>
    <row r="28" spans="4:5">
      <c r="D28" s="32"/>
      <c r="E28" s="33"/>
    </row>
    <row r="29" spans="4:5">
      <c r="D29" s="30"/>
      <c r="E29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MarketViewer</vt:lpstr>
      <vt:lpstr>DV01</vt:lpstr>
      <vt:lpstr>buildItems</vt:lpstr>
      <vt:lpstr>MarketHandle</vt:lpstr>
      <vt:lpstr>valueDate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Leon Shen</cp:lastModifiedBy>
  <dcterms:created xsi:type="dcterms:W3CDTF">2022-04-17T17:27:03Z</dcterms:created>
  <dcterms:modified xsi:type="dcterms:W3CDTF">2022-05-09T10:19:59Z</dcterms:modified>
</cp:coreProperties>
</file>