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ongjie\source\repos\zongjieshen\PythonMarketAnalytics\PythonMarketAnalytics\"/>
    </mc:Choice>
  </mc:AlternateContent>
  <xr:revisionPtr revIDLastSave="0" documentId="13_ncr:1_{1414ECCD-5254-45E7-96F4-25B8A9ECC58A}" xr6:coauthVersionLast="47" xr6:coauthVersionMax="47" xr10:uidLastSave="{00000000-0000-0000-0000-000000000000}"/>
  <bookViews>
    <workbookView xWindow="-120" yWindow="-120" windowWidth="38640" windowHeight="21240" xr2:uid="{360BA86D-65F6-4478-A636-331A56AC90E7}"/>
  </bookViews>
  <sheets>
    <sheet name="MarketViewer" sheetId="1" r:id="rId1"/>
    <sheet name="DV01" sheetId="4" r:id="rId2"/>
  </sheets>
  <functionGroups builtInGroupCount="19"/>
  <definedNames>
    <definedName name="buildItems">MarketViewer!$D$2:$J$25</definedName>
    <definedName name="MarketHandle">MarketViewer!$B$3</definedName>
    <definedName name="valueDate">MarketViewer!$B$2</definedName>
  </definedNames>
  <calcPr calcId="181029" calcMode="manual"/>
  <extLst>
    <ext xmlns:x14="http://schemas.microsoft.com/office/spreadsheetml/2009/9/main" uri="{8193D73E-4604-4355-AFF4-8A2333D13BE4}">
      <x14:definedNames>
        <x14:definedName name="Char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re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arket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ItemPill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tems">
          <x14:argumentDescriptions count="1">
            <x14:argumentDescription index="0">Positional argument 1</x14:argumentDescription>
          </x14:argumentDescriptions>
        </x14:definedName>
        <x14:definedName name="RemoveHandle">
          <x14:argumentDescriptions count="1">
            <x14:argumentDescription index="0">Positional argument 1</x14:argumentDescription>
          </x14:argumentDescriptions>
        </x14:definedName>
        <x14:definedName name="Schedule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O6" i="1" a="1"/>
  <c r="A9" i="1" a="1"/>
  <c r="B9" i="1" l="1"/>
  <c r="B15" i="1"/>
  <c r="A10" i="1"/>
  <c r="A16" i="1"/>
  <c r="B17" i="1"/>
  <c r="B18" i="1"/>
  <c r="B14" i="1"/>
  <c r="B10" i="1"/>
  <c r="B16" i="1"/>
  <c r="A17" i="1"/>
  <c r="B12" i="1"/>
  <c r="A14" i="1"/>
  <c r="A11" i="1"/>
  <c r="B11" i="1"/>
  <c r="A12" i="1"/>
  <c r="A18" i="1"/>
  <c r="A9" i="1"/>
  <c r="A15" i="1"/>
  <c r="A13" i="1"/>
  <c r="B13" i="1"/>
  <c r="O28" i="1"/>
  <c r="O56" i="1"/>
  <c r="O86" i="1"/>
  <c r="O34" i="1"/>
  <c r="O29" i="1"/>
  <c r="O36" i="1"/>
  <c r="O111" i="1"/>
  <c r="O7" i="1"/>
  <c r="O89" i="1"/>
  <c r="O73" i="1"/>
  <c r="O40" i="1"/>
  <c r="O68" i="1"/>
  <c r="O98" i="1"/>
  <c r="O49" i="1"/>
  <c r="O108" i="1"/>
  <c r="O53" i="1"/>
  <c r="O84" i="1"/>
  <c r="O23" i="1"/>
  <c r="O11" i="1"/>
  <c r="O90" i="1"/>
  <c r="O17" i="1"/>
  <c r="O117" i="1"/>
  <c r="O71" i="1"/>
  <c r="O60" i="1"/>
  <c r="O48" i="1"/>
  <c r="O45" i="1"/>
  <c r="O30" i="1"/>
  <c r="O70" i="1"/>
  <c r="O31" i="1"/>
  <c r="O43" i="1"/>
  <c r="O99" i="1"/>
  <c r="O52" i="1"/>
  <c r="O80" i="1"/>
  <c r="O110" i="1"/>
  <c r="O66" i="1"/>
  <c r="O46" i="1"/>
  <c r="O69" i="1"/>
  <c r="O22" i="1"/>
  <c r="O39" i="1"/>
  <c r="O75" i="1"/>
  <c r="O106" i="1"/>
  <c r="O64" i="1"/>
  <c r="O92" i="1"/>
  <c r="O82" i="1"/>
  <c r="O15" i="1"/>
  <c r="O101" i="1"/>
  <c r="O55" i="1"/>
  <c r="O121" i="1"/>
  <c r="O76" i="1"/>
  <c r="O97" i="1"/>
  <c r="O72" i="1"/>
  <c r="O91" i="1"/>
  <c r="O14" i="1"/>
  <c r="O54" i="1"/>
  <c r="O120" i="1"/>
  <c r="O10" i="1"/>
  <c r="O105" i="1"/>
  <c r="O24" i="1"/>
  <c r="O113" i="1"/>
  <c r="O41" i="1"/>
  <c r="O18" i="1"/>
  <c r="O109" i="1"/>
  <c r="O122" i="1"/>
  <c r="O85" i="1"/>
  <c r="O77" i="1"/>
  <c r="O104" i="1"/>
  <c r="O19" i="1"/>
  <c r="O61" i="1"/>
  <c r="O100" i="1"/>
  <c r="O37" i="1"/>
  <c r="O103" i="1"/>
  <c r="O65" i="1"/>
  <c r="O47" i="1"/>
  <c r="O102" i="1"/>
  <c r="O20" i="1"/>
  <c r="O93" i="1"/>
  <c r="O62" i="1"/>
  <c r="O13" i="1"/>
  <c r="O50" i="1"/>
  <c r="O16" i="1"/>
  <c r="O107" i="1"/>
  <c r="O57" i="1"/>
  <c r="O88" i="1"/>
  <c r="O116" i="1"/>
  <c r="O33" i="1"/>
  <c r="O114" i="1"/>
  <c r="O35" i="1"/>
  <c r="O6" i="1"/>
  <c r="O59" i="1"/>
  <c r="O87" i="1"/>
  <c r="O79" i="1"/>
  <c r="O51" i="1"/>
  <c r="O78" i="1"/>
  <c r="O67" i="1"/>
  <c r="O119" i="1"/>
  <c r="O83" i="1"/>
  <c r="O112" i="1"/>
  <c r="O26" i="1"/>
  <c r="O63" i="1"/>
  <c r="O96" i="1"/>
  <c r="O25" i="1"/>
  <c r="O27" i="1"/>
  <c r="O94" i="1"/>
  <c r="O44" i="1"/>
  <c r="O21" i="1"/>
  <c r="O58" i="1"/>
  <c r="O8" i="1"/>
  <c r="O38" i="1"/>
  <c r="O81" i="1"/>
  <c r="O118" i="1"/>
  <c r="O9" i="1"/>
  <c r="O12" i="1"/>
  <c r="O32" i="1"/>
  <c r="O115" i="1"/>
  <c r="O42" i="1"/>
  <c r="O74" i="1"/>
  <c r="O95" i="1"/>
  <c r="B2" i="4"/>
  <c r="D2" i="4" a="1"/>
  <c r="R6" i="1" a="1"/>
  <c r="Q6" i="1" a="1"/>
  <c r="S6" i="1" a="1"/>
  <c r="P6" i="1" a="1"/>
  <c r="P27" i="1" l="1"/>
  <c r="P24" i="1"/>
  <c r="P70" i="1"/>
  <c r="P107" i="1"/>
  <c r="P28" i="1"/>
  <c r="P106" i="1"/>
  <c r="P29" i="1"/>
  <c r="P111" i="1"/>
  <c r="P95" i="1"/>
  <c r="P42" i="1"/>
  <c r="P7" i="1"/>
  <c r="P85" i="1"/>
  <c r="P96" i="1"/>
  <c r="P8" i="1"/>
  <c r="P17" i="1"/>
  <c r="P122" i="1"/>
  <c r="P75" i="1"/>
  <c r="P14" i="1"/>
  <c r="P6" i="1"/>
  <c r="P36" i="1"/>
  <c r="P87" i="1"/>
  <c r="P65" i="1"/>
  <c r="P76" i="1"/>
  <c r="P9" i="1"/>
  <c r="P45" i="1"/>
  <c r="P51" i="1"/>
  <c r="P112" i="1"/>
  <c r="P22" i="1"/>
  <c r="P93" i="1"/>
  <c r="P56" i="1"/>
  <c r="P11" i="1"/>
  <c r="P119" i="1"/>
  <c r="P15" i="1"/>
  <c r="P59" i="1"/>
  <c r="P80" i="1"/>
  <c r="P26" i="1"/>
  <c r="P18" i="1"/>
  <c r="P48" i="1"/>
  <c r="P103" i="1"/>
  <c r="P67" i="1"/>
  <c r="P81" i="1"/>
  <c r="P44" i="1"/>
  <c r="P61" i="1"/>
  <c r="P115" i="1"/>
  <c r="P16" i="1"/>
  <c r="P50" i="1"/>
  <c r="P19" i="1"/>
  <c r="P49" i="1"/>
  <c r="P66" i="1"/>
  <c r="P116" i="1"/>
  <c r="P79" i="1"/>
  <c r="P12" i="1"/>
  <c r="P10" i="1"/>
  <c r="P38" i="1"/>
  <c r="P30" i="1"/>
  <c r="P60" i="1"/>
  <c r="P118" i="1"/>
  <c r="P68" i="1"/>
  <c r="P34" i="1"/>
  <c r="P92" i="1"/>
  <c r="P77" i="1"/>
  <c r="P83" i="1"/>
  <c r="P33" i="1"/>
  <c r="P72" i="1"/>
  <c r="P97" i="1"/>
  <c r="P74" i="1"/>
  <c r="P41" i="1"/>
  <c r="P69" i="1"/>
  <c r="P114" i="1"/>
  <c r="P94" i="1"/>
  <c r="P62" i="1"/>
  <c r="P54" i="1"/>
  <c r="P84" i="1"/>
  <c r="P40" i="1"/>
  <c r="P23" i="1"/>
  <c r="P101" i="1"/>
  <c r="P82" i="1"/>
  <c r="P109" i="1"/>
  <c r="P100" i="1"/>
  <c r="P113" i="1"/>
  <c r="P117" i="1"/>
  <c r="P55" i="1"/>
  <c r="P86" i="1"/>
  <c r="P78" i="1"/>
  <c r="P108" i="1"/>
  <c r="P71" i="1"/>
  <c r="P57" i="1"/>
  <c r="P25" i="1"/>
  <c r="P37" i="1"/>
  <c r="P31" i="1"/>
  <c r="P13" i="1"/>
  <c r="P99" i="1"/>
  <c r="P110" i="1"/>
  <c r="P21" i="1"/>
  <c r="P104" i="1"/>
  <c r="P58" i="1"/>
  <c r="P20" i="1"/>
  <c r="P47" i="1"/>
  <c r="P105" i="1"/>
  <c r="P91" i="1"/>
  <c r="P98" i="1"/>
  <c r="P90" i="1"/>
  <c r="P120" i="1"/>
  <c r="P88" i="1"/>
  <c r="P73" i="1"/>
  <c r="P43" i="1"/>
  <c r="P52" i="1"/>
  <c r="P46" i="1"/>
  <c r="P32" i="1"/>
  <c r="P35" i="1"/>
  <c r="P102" i="1"/>
  <c r="P89" i="1"/>
  <c r="P63" i="1"/>
  <c r="P53" i="1"/>
  <c r="P39" i="1"/>
  <c r="P64" i="1"/>
  <c r="P121" i="1"/>
  <c r="S85" i="1"/>
  <c r="S114" i="1"/>
  <c r="S11" i="1"/>
  <c r="S41" i="1"/>
  <c r="S44" i="1"/>
  <c r="S18" i="1"/>
  <c r="S10" i="1"/>
  <c r="S45" i="1"/>
  <c r="S7" i="1"/>
  <c r="S73" i="1"/>
  <c r="S35" i="1"/>
  <c r="S29" i="1"/>
  <c r="S42" i="1"/>
  <c r="S113" i="1"/>
  <c r="S83" i="1"/>
  <c r="S12" i="1"/>
  <c r="S105" i="1"/>
  <c r="S101" i="1"/>
  <c r="S74" i="1"/>
  <c r="S51" i="1"/>
  <c r="S43" i="1"/>
  <c r="S77" i="1"/>
  <c r="S79" i="1"/>
  <c r="S58" i="1"/>
  <c r="S103" i="1"/>
  <c r="S36" i="1"/>
  <c r="S62" i="1"/>
  <c r="S32" i="1"/>
  <c r="S71" i="1"/>
  <c r="S24" i="1"/>
  <c r="S21" i="1"/>
  <c r="S87" i="1"/>
  <c r="S89" i="1"/>
  <c r="S19" i="1"/>
  <c r="S70" i="1"/>
  <c r="S121" i="1"/>
  <c r="S80" i="1"/>
  <c r="S68" i="1"/>
  <c r="S84" i="1"/>
  <c r="S104" i="1"/>
  <c r="S122" i="1"/>
  <c r="S93" i="1"/>
  <c r="S115" i="1"/>
  <c r="S17" i="1"/>
  <c r="S118" i="1"/>
  <c r="S92" i="1"/>
  <c r="S102" i="1"/>
  <c r="S50" i="1"/>
  <c r="S37" i="1"/>
  <c r="S16" i="1"/>
  <c r="S27" i="1"/>
  <c r="S98" i="1"/>
  <c r="S67" i="1"/>
  <c r="S40" i="1"/>
  <c r="S91" i="1"/>
  <c r="S112" i="1"/>
  <c r="S117" i="1"/>
  <c r="S20" i="1"/>
  <c r="S54" i="1"/>
  <c r="S31" i="1"/>
  <c r="S47" i="1"/>
  <c r="S116" i="1"/>
  <c r="S95" i="1"/>
  <c r="S82" i="1"/>
  <c r="S108" i="1"/>
  <c r="S59" i="1"/>
  <c r="S75" i="1"/>
  <c r="S81" i="1"/>
  <c r="S56" i="1"/>
  <c r="S72" i="1"/>
  <c r="S60" i="1"/>
  <c r="S111" i="1"/>
  <c r="S120" i="1"/>
  <c r="S76" i="1"/>
  <c r="S15" i="1"/>
  <c r="S107" i="1"/>
  <c r="S6" i="1"/>
  <c r="S88" i="1"/>
  <c r="S69" i="1"/>
  <c r="S49" i="1"/>
  <c r="S55" i="1"/>
  <c r="S26" i="1"/>
  <c r="S23" i="1"/>
  <c r="S53" i="1"/>
  <c r="S106" i="1"/>
  <c r="S96" i="1"/>
  <c r="S99" i="1"/>
  <c r="S110" i="1"/>
  <c r="S64" i="1"/>
  <c r="S33" i="1"/>
  <c r="S52" i="1"/>
  <c r="S46" i="1"/>
  <c r="S65" i="1"/>
  <c r="S97" i="1"/>
  <c r="S14" i="1"/>
  <c r="S38" i="1"/>
  <c r="S22" i="1"/>
  <c r="S78" i="1"/>
  <c r="S8" i="1"/>
  <c r="S48" i="1"/>
  <c r="S109" i="1"/>
  <c r="S94" i="1"/>
  <c r="S66" i="1"/>
  <c r="S30" i="1"/>
  <c r="S9" i="1"/>
  <c r="S13" i="1"/>
  <c r="S100" i="1"/>
  <c r="S57" i="1"/>
  <c r="S61" i="1"/>
  <c r="S63" i="1"/>
  <c r="S39" i="1"/>
  <c r="S28" i="1"/>
  <c r="S25" i="1"/>
  <c r="S86" i="1"/>
  <c r="S119" i="1"/>
  <c r="S90" i="1"/>
  <c r="S34" i="1"/>
  <c r="Q36" i="1"/>
  <c r="Q61" i="1"/>
  <c r="Q87" i="1"/>
  <c r="Q10" i="1"/>
  <c r="Q57" i="1"/>
  <c r="Q55" i="1"/>
  <c r="Q21" i="1"/>
  <c r="Q45" i="1"/>
  <c r="Q98" i="1"/>
  <c r="Q53" i="1"/>
  <c r="Q28" i="1"/>
  <c r="Q104" i="1"/>
  <c r="Q59" i="1"/>
  <c r="Q50" i="1"/>
  <c r="Q88" i="1"/>
  <c r="Q37" i="1"/>
  <c r="Q6" i="1"/>
  <c r="Q24" i="1"/>
  <c r="Q95" i="1"/>
  <c r="Q48" i="1"/>
  <c r="Q73" i="1"/>
  <c r="Q99" i="1"/>
  <c r="Q22" i="1"/>
  <c r="Q79" i="1"/>
  <c r="Q117" i="1"/>
  <c r="Q43" i="1"/>
  <c r="Q67" i="1"/>
  <c r="Q14" i="1"/>
  <c r="Q71" i="1"/>
  <c r="Q84" i="1"/>
  <c r="Q19" i="1"/>
  <c r="Q8" i="1"/>
  <c r="Q82" i="1"/>
  <c r="Q47" i="1"/>
  <c r="Q105" i="1"/>
  <c r="Q12" i="1"/>
  <c r="Q32" i="1"/>
  <c r="Q112" i="1"/>
  <c r="Q31" i="1"/>
  <c r="Q60" i="1"/>
  <c r="Q85" i="1"/>
  <c r="Q111" i="1"/>
  <c r="Q34" i="1"/>
  <c r="Q101" i="1"/>
  <c r="Q20" i="1"/>
  <c r="Q65" i="1"/>
  <c r="Q89" i="1"/>
  <c r="Q116" i="1"/>
  <c r="Q92" i="1"/>
  <c r="Q58" i="1"/>
  <c r="Q7" i="1"/>
  <c r="Q15" i="1"/>
  <c r="Q86" i="1"/>
  <c r="Q35" i="1"/>
  <c r="Q74" i="1"/>
  <c r="Q75" i="1"/>
  <c r="Q72" i="1"/>
  <c r="Q97" i="1"/>
  <c r="Q16" i="1"/>
  <c r="Q46" i="1"/>
  <c r="Q119" i="1"/>
  <c r="Q42" i="1"/>
  <c r="Q83" i="1"/>
  <c r="Q107" i="1"/>
  <c r="Q56" i="1"/>
  <c r="Q114" i="1"/>
  <c r="Q109" i="1"/>
  <c r="Q62" i="1"/>
  <c r="Q54" i="1"/>
  <c r="Q52" i="1"/>
  <c r="Q103" i="1"/>
  <c r="Q122" i="1"/>
  <c r="Q100" i="1"/>
  <c r="Q78" i="1"/>
  <c r="Q96" i="1"/>
  <c r="Q121" i="1"/>
  <c r="Q40" i="1"/>
  <c r="Q70" i="1"/>
  <c r="Q41" i="1"/>
  <c r="Q81" i="1"/>
  <c r="Q44" i="1"/>
  <c r="Q29" i="1"/>
  <c r="Q30" i="1"/>
  <c r="Q33" i="1"/>
  <c r="Q108" i="1"/>
  <c r="Q17" i="1"/>
  <c r="Q110" i="1"/>
  <c r="Q18" i="1"/>
  <c r="Q49" i="1"/>
  <c r="Q26" i="1"/>
  <c r="Q120" i="1"/>
  <c r="Q27" i="1"/>
  <c r="Q64" i="1"/>
  <c r="Q94" i="1"/>
  <c r="Q80" i="1"/>
  <c r="Q23" i="1"/>
  <c r="Q93" i="1"/>
  <c r="Q68" i="1"/>
  <c r="Q69" i="1"/>
  <c r="Q25" i="1"/>
  <c r="Q118" i="1"/>
  <c r="Q63" i="1"/>
  <c r="Q9" i="1"/>
  <c r="Q38" i="1"/>
  <c r="Q13" i="1"/>
  <c r="Q39" i="1"/>
  <c r="Q76" i="1"/>
  <c r="Q106" i="1"/>
  <c r="Q102" i="1"/>
  <c r="Q66" i="1"/>
  <c r="Q77" i="1"/>
  <c r="Q90" i="1"/>
  <c r="Q91" i="1"/>
  <c r="Q51" i="1"/>
  <c r="Q113" i="1"/>
  <c r="Q11" i="1"/>
  <c r="Q115" i="1"/>
  <c r="R70" i="1"/>
  <c r="R95" i="1"/>
  <c r="R121" i="1"/>
  <c r="R27" i="1"/>
  <c r="R56" i="1"/>
  <c r="R42" i="1"/>
  <c r="R48" i="1"/>
  <c r="R81" i="1"/>
  <c r="R101" i="1"/>
  <c r="R79" i="1"/>
  <c r="R39" i="1"/>
  <c r="R66" i="1"/>
  <c r="R12" i="1"/>
  <c r="R103" i="1"/>
  <c r="R118" i="1"/>
  <c r="R104" i="1"/>
  <c r="R6" i="1"/>
  <c r="R99" i="1"/>
  <c r="R52" i="1"/>
  <c r="R59" i="1"/>
  <c r="R7" i="1"/>
  <c r="R122" i="1"/>
  <c r="R31" i="1"/>
  <c r="R18" i="1"/>
  <c r="R82" i="1"/>
  <c r="R107" i="1"/>
  <c r="R14" i="1"/>
  <c r="R68" i="1"/>
  <c r="R96" i="1"/>
  <c r="R105" i="1"/>
  <c r="R50" i="1"/>
  <c r="R21" i="1"/>
  <c r="R49" i="1"/>
  <c r="R64" i="1"/>
  <c r="R85" i="1"/>
  <c r="R29" i="1"/>
  <c r="R46" i="1"/>
  <c r="R72" i="1"/>
  <c r="R115" i="1"/>
  <c r="R94" i="1"/>
  <c r="R119" i="1"/>
  <c r="R26" i="1"/>
  <c r="R51" i="1"/>
  <c r="R80" i="1"/>
  <c r="R90" i="1"/>
  <c r="R108" i="1"/>
  <c r="R112" i="1"/>
  <c r="R60" i="1"/>
  <c r="R9" i="1"/>
  <c r="R16" i="1"/>
  <c r="R88" i="1"/>
  <c r="R25" i="1"/>
  <c r="R33" i="1"/>
  <c r="R74" i="1"/>
  <c r="R54" i="1"/>
  <c r="R20" i="1"/>
  <c r="R91" i="1"/>
  <c r="R58" i="1"/>
  <c r="R120" i="1"/>
  <c r="R106" i="1"/>
  <c r="R13" i="1"/>
  <c r="R38" i="1"/>
  <c r="R63" i="1"/>
  <c r="R92" i="1"/>
  <c r="R114" i="1"/>
  <c r="R36" i="1"/>
  <c r="R57" i="1"/>
  <c r="R75" i="1"/>
  <c r="R40" i="1"/>
  <c r="R23" i="1"/>
  <c r="R17" i="1"/>
  <c r="R110" i="1"/>
  <c r="R71" i="1"/>
  <c r="R53" i="1"/>
  <c r="R15" i="1"/>
  <c r="R11" i="1"/>
  <c r="R37" i="1"/>
  <c r="R62" i="1"/>
  <c r="R87" i="1"/>
  <c r="R116" i="1"/>
  <c r="R84" i="1"/>
  <c r="R45" i="1"/>
  <c r="R28" i="1"/>
  <c r="R30" i="1"/>
  <c r="R69" i="1"/>
  <c r="R67" i="1"/>
  <c r="R97" i="1"/>
  <c r="R109" i="1"/>
  <c r="R55" i="1"/>
  <c r="R10" i="1"/>
  <c r="R35" i="1"/>
  <c r="R61" i="1"/>
  <c r="R86" i="1"/>
  <c r="R111" i="1"/>
  <c r="R41" i="1"/>
  <c r="R19" i="1"/>
  <c r="R93" i="1"/>
  <c r="R76" i="1"/>
  <c r="R78" i="1"/>
  <c r="R100" i="1"/>
  <c r="R34" i="1"/>
  <c r="R89" i="1"/>
  <c r="R113" i="1"/>
  <c r="R83" i="1"/>
  <c r="R77" i="1"/>
  <c r="R22" i="1"/>
  <c r="R47" i="1"/>
  <c r="R73" i="1"/>
  <c r="R98" i="1"/>
  <c r="R8" i="1"/>
  <c r="R65" i="1"/>
  <c r="R43" i="1"/>
  <c r="R117" i="1"/>
  <c r="R102" i="1"/>
  <c r="R24" i="1"/>
  <c r="R32" i="1"/>
  <c r="R44" i="1"/>
  <c r="D14" i="4"/>
  <c r="E2" i="4"/>
  <c r="E9" i="4"/>
  <c r="E7" i="4"/>
  <c r="D15" i="4"/>
  <c r="E13" i="4"/>
  <c r="D20" i="4"/>
  <c r="E8" i="4"/>
  <c r="D5" i="4"/>
  <c r="E19" i="4"/>
  <c r="D4" i="4"/>
  <c r="D16" i="4"/>
  <c r="D3" i="4"/>
  <c r="E14" i="4"/>
  <c r="D18" i="4"/>
  <c r="E5" i="4"/>
  <c r="D21" i="4"/>
  <c r="E4" i="4"/>
  <c r="E18" i="4"/>
  <c r="D9" i="4"/>
  <c r="E20" i="4"/>
  <c r="D13" i="4"/>
  <c r="D6" i="4"/>
  <c r="D2" i="4"/>
  <c r="D19" i="4"/>
  <c r="E21" i="4"/>
  <c r="E15" i="4"/>
  <c r="D10" i="4"/>
  <c r="E10" i="4"/>
  <c r="E12" i="4"/>
  <c r="D11" i="4"/>
  <c r="E16" i="4"/>
  <c r="D22" i="4"/>
  <c r="E6" i="4"/>
  <c r="D7" i="4"/>
  <c r="D8" i="4"/>
  <c r="E17" i="4"/>
  <c r="D17" i="4"/>
  <c r="E22" i="4"/>
  <c r="D12" i="4"/>
  <c r="E11" i="4"/>
  <c r="E3" i="4"/>
</calcChain>
</file>

<file path=xl/sharedStrings.xml><?xml version="1.0" encoding="utf-8"?>
<sst xmlns="http://schemas.openxmlformats.org/spreadsheetml/2006/main" count="83" uniqueCount="55">
  <si>
    <t>31/12/2021</t>
    <phoneticPr fontId="1" type="noConversion"/>
  </si>
  <si>
    <t>ValueDate</t>
  </si>
  <si>
    <t>Market Handle</t>
  </si>
  <si>
    <t>Parameter</t>
  </si>
  <si>
    <t>UseCache</t>
  </si>
  <si>
    <t>Build</t>
  </si>
  <si>
    <t>CurveType</t>
  </si>
  <si>
    <t>Filter</t>
  </si>
  <si>
    <t>Ccy</t>
  </si>
  <si>
    <t>AUDBondGov</t>
  </si>
  <si>
    <t>AUDSwap</t>
  </si>
  <si>
    <t>GBPOIS</t>
  </si>
  <si>
    <t>JPYOIS</t>
  </si>
  <si>
    <t>AUDSwap3m</t>
  </si>
  <si>
    <t>AUDSwap6m</t>
  </si>
  <si>
    <t>ValueType == 'BondYield' and Currency == 'AUD'</t>
  </si>
  <si>
    <t>Currency == 'GBP' and Context == 'Valuation' and Source == 'BBG' and ValueType == 'SwapRate' and CompoundingFrequency == 'Daily'</t>
  </si>
  <si>
    <t>Currency == 'JPY' and Context == 'Valuation' and Source == 'BBG' and ValueType == 'SwapRate' and CompoundingFrequency == 'Daily'</t>
  </si>
  <si>
    <t>(ValueType == 'DepositRate' and Label.str.contains ('AUDBILL').values) or ValueType == 'SwapRate' and PaymentFrequency == 'Quarterly' and Label.str.startswith('AUDSwap').values or ValueType == 'BasisSwap' and PaymentFrequency == 'SemiAnnual' and Label.str.startswith('AUDBasis6m3m').values</t>
  </si>
  <si>
    <t>(ValueType == 'DepositRate' and Label.str.contains ('AUDBILL').values) or ValueType == 'SwapRate' and PaymentFrequency == 'SemiAnnual' and Label.str.startswith('AUDSwap').values or ValueType == 'BasisSwap' and PaymentFrequency == 'Quarterly' and Label.str.startswith('AUDBasis6m3m').values</t>
  </si>
  <si>
    <t>AUDSwap1m</t>
  </si>
  <si>
    <t>AUCPI</t>
  </si>
  <si>
    <t>AUD.Bond.Gov.BEI</t>
  </si>
  <si>
    <t>YieldCurve</t>
  </si>
  <si>
    <t>IndexFixing</t>
  </si>
  <si>
    <t>InflationCurve</t>
  </si>
  <si>
    <t>(ValueType == 'DepositRate' and Label.str.contains ('AUDBILL').values) or ValueType == 'BasisSwap' and Label.str.startswith('AUDBasis3m1m').values</t>
  </si>
  <si>
    <t>Currency =='AUD' and Context == 'Valuation' and Source == 'BBG' and ValueType == 'BondYield'</t>
  </si>
  <si>
    <t>Currency =='AUD'</t>
  </si>
  <si>
    <t>AUD</t>
  </si>
  <si>
    <t>GBP</t>
  </si>
  <si>
    <t>JPY</t>
  </si>
  <si>
    <t>DiscountCurve</t>
  </si>
  <si>
    <t>IndexFixingKey</t>
  </si>
  <si>
    <t>Label</t>
  </si>
  <si>
    <t>ValueType == 'DepositRate' and Label.str.contains ('AUDBILL').values or ValueType == 'SwapRate' and Label.str.contains ('AUDSwap').values</t>
  </si>
  <si>
    <t>FromDate</t>
  </si>
  <si>
    <t>ToDate</t>
  </si>
  <si>
    <t>Calendar</t>
  </si>
  <si>
    <t>Tenor</t>
  </si>
  <si>
    <t>3m</t>
  </si>
  <si>
    <t>SYD</t>
  </si>
  <si>
    <t>Convention</t>
  </si>
  <si>
    <t>RateType</t>
  </si>
  <si>
    <t>zero</t>
  </si>
  <si>
    <t>Fwd tenor</t>
  </si>
  <si>
    <t>unadjusted</t>
  </si>
  <si>
    <t>Curve Name</t>
  </si>
  <si>
    <t>Handle</t>
  </si>
  <si>
    <t>pillar</t>
  </si>
  <si>
    <t>ShockType</t>
  </si>
  <si>
    <t>ShockAmount</t>
  </si>
  <si>
    <t>Notional</t>
  </si>
  <si>
    <t>Curve</t>
  </si>
  <si>
    <t>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</si>
</sst>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[$-F800]dddd\,\ mmmm\ dd\,\ yyyy"/>
    <numFmt numFmtId="167" formatCode="[$-C09]dd\-mmm\-yy;@"/>
    <numFmt numFmtId="168" formatCode="_(* #,##0.00000000_);_(* \(#,##0.00000000\);_(* &quot;-&quot;??_);_(@_)"/>
  </numFmts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164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</cellStyleXfs>
  <cellXfs count="34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165" fontId="0" fillId="0" borderId="0" xfId="1" applyNumberFormat="1" applyFont="1" applyAlignment="1"/>
    <xf numFmtId="166" fontId="0" fillId="0" borderId="0" xfId="0" applyNumberFormat="1"/>
    <xf numFmtId="0" fontId="5" fillId="7" borderId="0" xfId="0" applyFont="1" applyFill="1"/>
    <xf numFmtId="14" fontId="2" fillId="6" borderId="1" xfId="6" applyNumberFormat="1" applyBorder="1"/>
    <xf numFmtId="0" fontId="4" fillId="2" borderId="0" xfId="2"/>
    <xf numFmtId="0" fontId="2" fillId="4" borderId="0" xfId="4"/>
    <xf numFmtId="0" fontId="6" fillId="3" borderId="0" xfId="3" applyFont="1"/>
    <xf numFmtId="0" fontId="2" fillId="6" borderId="0" xfId="6"/>
    <xf numFmtId="0" fontId="2" fillId="5" borderId="0" xfId="5"/>
    <xf numFmtId="0" fontId="2" fillId="6" borderId="0" xfId="6" applyAlignment="1"/>
    <xf numFmtId="0" fontId="2" fillId="5" borderId="0" xfId="5" applyAlignment="1"/>
    <xf numFmtId="166" fontId="2" fillId="6" borderId="0" xfId="6" applyNumberFormat="1"/>
    <xf numFmtId="166" fontId="2" fillId="5" borderId="0" xfId="5" applyNumberFormat="1"/>
    <xf numFmtId="167" fontId="0" fillId="0" borderId="0" xfId="0" applyNumberFormat="1"/>
    <xf numFmtId="0" fontId="0" fillId="0" borderId="0" xfId="1" applyNumberFormat="1" applyFont="1" applyAlignment="1"/>
    <xf numFmtId="168" fontId="0" fillId="0" borderId="0" xfId="1" applyNumberFormat="1" applyFont="1" applyAlignment="1"/>
    <xf numFmtId="167" fontId="2" fillId="9" borderId="0" xfId="8" applyNumberFormat="1"/>
    <xf numFmtId="10" fontId="2" fillId="9" borderId="0" xfId="8" applyNumberFormat="1"/>
    <xf numFmtId="10" fontId="2" fillId="9" borderId="0" xfId="8" applyNumberFormat="1" applyAlignment="1"/>
    <xf numFmtId="167" fontId="2" fillId="8" borderId="0" xfId="7" applyNumberFormat="1"/>
    <xf numFmtId="10" fontId="2" fillId="8" borderId="0" xfId="7" applyNumberFormat="1"/>
    <xf numFmtId="10" fontId="2" fillId="8" borderId="0" xfId="7" applyNumberFormat="1" applyAlignment="1"/>
    <xf numFmtId="14" fontId="2" fillId="6" borderId="0" xfId="6" applyNumberFormat="1" applyAlignment="1">
      <alignment horizontal="right"/>
    </xf>
    <xf numFmtId="14" fontId="2" fillId="5" borderId="0" xfId="5" applyNumberFormat="1" applyAlignment="1">
      <alignment horizontal="right"/>
    </xf>
    <xf numFmtId="0" fontId="2" fillId="6" borderId="0" xfId="6" applyNumberFormat="1"/>
    <xf numFmtId="0" fontId="2" fillId="5" borderId="0" xfId="5" applyNumberFormat="1"/>
    <xf numFmtId="0" fontId="2" fillId="9" borderId="0" xfId="8"/>
    <xf numFmtId="165" fontId="2" fillId="9" borderId="0" xfId="8" applyNumberFormat="1" applyAlignment="1"/>
    <xf numFmtId="0" fontId="2" fillId="8" borderId="0" xfId="7"/>
    <xf numFmtId="165" fontId="2" fillId="8" borderId="0" xfId="7" applyNumberFormat="1" applyAlignment="1"/>
  </cellXfs>
  <cellStyles count="9">
    <cellStyle name="20% - Accent6" xfId="7" builtinId="50"/>
    <cellStyle name="40% - Accent3" xfId="3" builtinId="39"/>
    <cellStyle name="40% - Accent4" xfId="5" builtinId="43"/>
    <cellStyle name="40% - Accent6" xfId="8" builtinId="51"/>
    <cellStyle name="60% - Accent3" xfId="4" builtinId="40"/>
    <cellStyle name="60% - Accent4" xfId="6" builtinId="44"/>
    <cellStyle name="Comma" xfId="1" builtinId="3"/>
    <cellStyle name="Good" xfId="2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MarketViewer!$P$6</c:f>
              <c:strCache>
                <c:ptCount val="1"/>
                <c:pt idx="0">
                  <c:v>AUDBondGov.ZeroRates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MarketViewer!$O$7:$O$122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MarketViewer!$P$7:$P$122</c:f>
              <c:numCache>
                <c:formatCode>0.00%</c:formatCode>
                <c:ptCount val="116"/>
                <c:pt idx="0">
                  <c:v>8.2813824568202666E-4</c:v>
                </c:pt>
                <c:pt idx="1">
                  <c:v>8.2606739475069686E-4</c:v>
                </c:pt>
                <c:pt idx="2">
                  <c:v>1.9067977691860887E-3</c:v>
                </c:pt>
                <c:pt idx="3">
                  <c:v>2.6708720199890945E-3</c:v>
                </c:pt>
                <c:pt idx="4">
                  <c:v>3.2096262562867615E-3</c:v>
                </c:pt>
                <c:pt idx="5">
                  <c:v>4.081293011592272E-3</c:v>
                </c:pt>
                <c:pt idx="6">
                  <c:v>4.8364769242724322E-3</c:v>
                </c:pt>
                <c:pt idx="7">
                  <c:v>5.3986406426772566E-3</c:v>
                </c:pt>
                <c:pt idx="8">
                  <c:v>5.8384248115692268E-3</c:v>
                </c:pt>
                <c:pt idx="9">
                  <c:v>7.1691605446119249E-3</c:v>
                </c:pt>
                <c:pt idx="10">
                  <c:v>8.5369253596342468E-3</c:v>
                </c:pt>
                <c:pt idx="11">
                  <c:v>9.7901786588857984E-3</c:v>
                </c:pt>
                <c:pt idx="12">
                  <c:v>1.0990476480286093E-2</c:v>
                </c:pt>
                <c:pt idx="13">
                  <c:v>1.1723829560898191E-2</c:v>
                </c:pt>
                <c:pt idx="14">
                  <c:v>1.2271126871172914E-2</c:v>
                </c:pt>
                <c:pt idx="15">
                  <c:v>1.2739496331794498E-2</c:v>
                </c:pt>
                <c:pt idx="16">
                  <c:v>1.3140506457363017E-2</c:v>
                </c:pt>
                <c:pt idx="17">
                  <c:v>1.3458430704207372E-2</c:v>
                </c:pt>
                <c:pt idx="18">
                  <c:v>1.3740381946358061E-2</c:v>
                </c:pt>
                <c:pt idx="19">
                  <c:v>1.406457427966239E-2</c:v>
                </c:pt>
                <c:pt idx="20">
                  <c:v>1.4359381067472522E-2</c:v>
                </c:pt>
                <c:pt idx="21">
                  <c:v>1.4642529398956433E-2</c:v>
                </c:pt>
                <c:pt idx="22">
                  <c:v>1.490657414765721E-2</c:v>
                </c:pt>
                <c:pt idx="23">
                  <c:v>1.5190003498187332E-2</c:v>
                </c:pt>
                <c:pt idx="24">
                  <c:v>1.5505522036186858E-2</c:v>
                </c:pt>
                <c:pt idx="25">
                  <c:v>1.5804273050749197E-2</c:v>
                </c:pt>
                <c:pt idx="26">
                  <c:v>1.6084865304339287E-2</c:v>
                </c:pt>
                <c:pt idx="27">
                  <c:v>1.6331092191013315E-2</c:v>
                </c:pt>
                <c:pt idx="28">
                  <c:v>1.6542105149031042E-2</c:v>
                </c:pt>
                <c:pt idx="29">
                  <c:v>1.6778345979096096E-2</c:v>
                </c:pt>
                <c:pt idx="30">
                  <c:v>1.7012553194416306E-2</c:v>
                </c:pt>
                <c:pt idx="31">
                  <c:v>1.722246297923765E-2</c:v>
                </c:pt>
                <c:pt idx="32">
                  <c:v>1.7407136711542096E-2</c:v>
                </c:pt>
                <c:pt idx="33">
                  <c:v>1.7564702642968548E-2</c:v>
                </c:pt>
                <c:pt idx="34">
                  <c:v>1.7686956469803315E-2</c:v>
                </c:pt>
                <c:pt idx="35">
                  <c:v>1.7807248710767689E-2</c:v>
                </c:pt>
                <c:pt idx="36">
                  <c:v>1.7949540584331364E-2</c:v>
                </c:pt>
                <c:pt idx="37">
                  <c:v>1.8084325149201792E-2</c:v>
                </c:pt>
                <c:pt idx="38">
                  <c:v>1.8162835682765308E-2</c:v>
                </c:pt>
                <c:pt idx="39">
                  <c:v>1.827272726704025E-2</c:v>
                </c:pt>
                <c:pt idx="40">
                  <c:v>1.8423128627998199E-2</c:v>
                </c:pt>
                <c:pt idx="41">
                  <c:v>1.8608326230689313E-2</c:v>
                </c:pt>
                <c:pt idx="42">
                  <c:v>1.8835078217872787E-2</c:v>
                </c:pt>
                <c:pt idx="43">
                  <c:v>1.9052948160084463E-2</c:v>
                </c:pt>
                <c:pt idx="44">
                  <c:v>1.9262585184600976E-2</c:v>
                </c:pt>
                <c:pt idx="45">
                  <c:v>1.9564672266758967E-2</c:v>
                </c:pt>
                <c:pt idx="46">
                  <c:v>1.9886873580374002E-2</c:v>
                </c:pt>
                <c:pt idx="47">
                  <c:v>2.0197348250598934E-2</c:v>
                </c:pt>
                <c:pt idx="48">
                  <c:v>2.0496891372966869E-2</c:v>
                </c:pt>
                <c:pt idx="49">
                  <c:v>2.0795858833382159E-2</c:v>
                </c:pt>
                <c:pt idx="50">
                  <c:v>2.1087979783667901E-2</c:v>
                </c:pt>
                <c:pt idx="51">
                  <c:v>2.1370614399301227E-2</c:v>
                </c:pt>
                <c:pt idx="52">
                  <c:v>2.1644350663201556E-2</c:v>
                </c:pt>
                <c:pt idx="53">
                  <c:v>2.1934559698647584E-2</c:v>
                </c:pt>
                <c:pt idx="54">
                  <c:v>2.2357795131871611E-2</c:v>
                </c:pt>
                <c:pt idx="55">
                  <c:v>2.2768425421211949E-2</c:v>
                </c:pt>
                <c:pt idx="56">
                  <c:v>2.3171573240750663E-2</c:v>
                </c:pt>
                <c:pt idx="57">
                  <c:v>2.357199835186025E-2</c:v>
                </c:pt>
                <c:pt idx="58">
                  <c:v>2.3965658400860231E-2</c:v>
                </c:pt>
                <c:pt idx="59">
                  <c:v>2.4348776810751045E-2</c:v>
                </c:pt>
                <c:pt idx="60">
                  <c:v>2.4721915509376035E-2</c:v>
                </c:pt>
                <c:pt idx="61">
                  <c:v>2.5092581256701944E-2</c:v>
                </c:pt>
                <c:pt idx="62">
                  <c:v>2.5456426885218583E-2</c:v>
                </c:pt>
                <c:pt idx="63">
                  <c:v>2.5811478594518177E-2</c:v>
                </c:pt>
                <c:pt idx="64">
                  <c:v>2.6158166059068115E-2</c:v>
                </c:pt>
                <c:pt idx="65">
                  <c:v>2.6508232897584069E-2</c:v>
                </c:pt>
                <c:pt idx="66">
                  <c:v>2.68541780225009E-2</c:v>
                </c:pt>
                <c:pt idx="67">
                  <c:v>2.7192541462046822E-2</c:v>
                </c:pt>
                <c:pt idx="68">
                  <c:v>2.7523662415346855E-2</c:v>
                </c:pt>
                <c:pt idx="69">
                  <c:v>2.7858137900510487E-2</c:v>
                </c:pt>
                <c:pt idx="70">
                  <c:v>2.8184230668198199E-2</c:v>
                </c:pt>
                <c:pt idx="71">
                  <c:v>2.8503826848903534E-2</c:v>
                </c:pt>
                <c:pt idx="72">
                  <c:v>2.8820658333848885E-2</c:v>
                </c:pt>
                <c:pt idx="73">
                  <c:v>2.9138326157461359E-2</c:v>
                </c:pt>
                <c:pt idx="74">
                  <c:v>2.9453492347398816E-2</c:v>
                </c:pt>
                <c:pt idx="75">
                  <c:v>2.9762919623303376E-2</c:v>
                </c:pt>
                <c:pt idx="76">
                  <c:v>3.0066820312441383E-2</c:v>
                </c:pt>
                <c:pt idx="77">
                  <c:v>3.0338634615959106E-2</c:v>
                </c:pt>
                <c:pt idx="78">
                  <c:v>3.0562125702361598E-2</c:v>
                </c:pt>
                <c:pt idx="79">
                  <c:v>3.0782142988677038E-2</c:v>
                </c:pt>
                <c:pt idx="80">
                  <c:v>3.0998790997857451E-2</c:v>
                </c:pt>
                <c:pt idx="81">
                  <c:v>3.1219344344595924E-2</c:v>
                </c:pt>
                <c:pt idx="82">
                  <c:v>3.143904549309471E-2</c:v>
                </c:pt>
                <c:pt idx="83">
                  <c:v>3.1655583344616919E-2</c:v>
                </c:pt>
                <c:pt idx="84">
                  <c:v>3.1869041960499438E-2</c:v>
                </c:pt>
                <c:pt idx="85">
                  <c:v>3.2086582621498411E-2</c:v>
                </c:pt>
                <c:pt idx="86">
                  <c:v>3.2303510656737353E-2</c:v>
                </c:pt>
                <c:pt idx="87">
                  <c:v>3.2517531242770792E-2</c:v>
                </c:pt>
                <c:pt idx="88">
                  <c:v>3.2731055819268551E-2</c:v>
                </c:pt>
                <c:pt idx="89">
                  <c:v>3.2946471918879117E-2</c:v>
                </c:pt>
                <c:pt idx="90">
                  <c:v>3.3161478449365407E-2</c:v>
                </c:pt>
                <c:pt idx="91">
                  <c:v>3.3373790267496789E-2</c:v>
                </c:pt>
                <c:pt idx="92">
                  <c:v>3.3583461366688203E-2</c:v>
                </c:pt>
                <c:pt idx="93">
                  <c:v>3.3797517461540777E-2</c:v>
                </c:pt>
                <c:pt idx="94">
                  <c:v>3.4011337080838679E-2</c:v>
                </c:pt>
                <c:pt idx="95">
                  <c:v>3.4222638878131088E-2</c:v>
                </c:pt>
                <c:pt idx="96">
                  <c:v>3.4431465686510745E-2</c:v>
                </c:pt>
                <c:pt idx="97">
                  <c:v>3.4644812039299297E-2</c:v>
                </c:pt>
                <c:pt idx="98">
                  <c:v>3.4858071499758329E-2</c:v>
                </c:pt>
                <c:pt idx="99">
                  <c:v>3.5068961314636375E-2</c:v>
                </c:pt>
                <c:pt idx="100">
                  <c:v>3.5258909772885504E-2</c:v>
                </c:pt>
                <c:pt idx="101">
                  <c:v>3.5291854599949886E-2</c:v>
                </c:pt>
                <c:pt idx="102">
                  <c:v>3.532609744185182E-2</c:v>
                </c:pt>
                <c:pt idx="103">
                  <c:v>3.5361217727036924E-2</c:v>
                </c:pt>
                <c:pt idx="104">
                  <c:v>3.5397554880065608E-2</c:v>
                </c:pt>
                <c:pt idx="105">
                  <c:v>3.5435503008127693E-2</c:v>
                </c:pt>
                <c:pt idx="106">
                  <c:v>3.5474644864925339E-2</c:v>
                </c:pt>
                <c:pt idx="107">
                  <c:v>3.5514512389180589E-2</c:v>
                </c:pt>
                <c:pt idx="108">
                  <c:v>3.5555046170159858E-2</c:v>
                </c:pt>
                <c:pt idx="109">
                  <c:v>3.5597594426097799E-2</c:v>
                </c:pt>
                <c:pt idx="110">
                  <c:v>3.5641247745909127E-2</c:v>
                </c:pt>
                <c:pt idx="111">
                  <c:v>3.568549383443928E-2</c:v>
                </c:pt>
                <c:pt idx="112">
                  <c:v>3.5730279151090602E-2</c:v>
                </c:pt>
                <c:pt idx="113">
                  <c:v>3.5777095375436739E-2</c:v>
                </c:pt>
                <c:pt idx="114">
                  <c:v>3.5824940735108633E-2</c:v>
                </c:pt>
                <c:pt idx="115">
                  <c:v>3.5873797846987972E-2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98A-861E-7EA832C3EBD8}"/>
            </c:ext>
          </c:extLst>
        </c:ser>
        <c:ser>
          <c:idx val="1"/>
          <c:order val="1"/>
          <c:tx>
            <c:strRef>
              <c:f>MarketViewer!$Q$6</c:f>
              <c:strCache>
                <c:ptCount val="1"/>
                <c:pt idx="0">
                  <c:v>AUDSwap.ZeroRates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MarketViewer!$O$7:$O$122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MarketViewer!$Q$7:$Q$122</c:f>
              <c:numCache>
                <c:formatCode>0.00%</c:formatCode>
                <c:ptCount val="116"/>
                <c:pt idx="0">
                  <c:v>6.1541776429081612E-4</c:v>
                </c:pt>
                <c:pt idx="1">
                  <c:v>2.0674730310476634E-3</c:v>
                </c:pt>
                <c:pt idx="2">
                  <c:v>3.2562364674998947E-3</c:v>
                </c:pt>
                <c:pt idx="3">
                  <c:v>3.8633360716575568E-3</c:v>
                </c:pt>
                <c:pt idx="4">
                  <c:v>5.855021506569638E-3</c:v>
                </c:pt>
                <c:pt idx="5">
                  <c:v>7.2943387754808514E-3</c:v>
                </c:pt>
                <c:pt idx="6">
                  <c:v>8.3260343912722346E-3</c:v>
                </c:pt>
                <c:pt idx="7">
                  <c:v>9.0968080693428575E-3</c:v>
                </c:pt>
                <c:pt idx="8">
                  <c:v>1.0351338913858085E-2</c:v>
                </c:pt>
                <c:pt idx="9">
                  <c:v>1.1406670171254811E-2</c:v>
                </c:pt>
                <c:pt idx="10">
                  <c:v>1.2278371648441639E-2</c:v>
                </c:pt>
                <c:pt idx="11">
                  <c:v>1.3005364379380232E-2</c:v>
                </c:pt>
                <c:pt idx="12">
                  <c:v>1.386304941430762E-2</c:v>
                </c:pt>
                <c:pt idx="13">
                  <c:v>1.4643036514085894E-2</c:v>
                </c:pt>
                <c:pt idx="14">
                  <c:v>1.5328070416958006E-2</c:v>
                </c:pt>
                <c:pt idx="15">
                  <c:v>1.5929896195309379E-2</c:v>
                </c:pt>
                <c:pt idx="16">
                  <c:v>1.6350753502354903E-2</c:v>
                </c:pt>
                <c:pt idx="17">
                  <c:v>1.6733119514067446E-2</c:v>
                </c:pt>
                <c:pt idx="18">
                  <c:v>1.7081627725696644E-2</c:v>
                </c:pt>
                <c:pt idx="19">
                  <c:v>1.7398093177673334E-2</c:v>
                </c:pt>
                <c:pt idx="20">
                  <c:v>1.7729532542313693E-2</c:v>
                </c:pt>
                <c:pt idx="21">
                  <c:v>1.8046095056894657E-2</c:v>
                </c:pt>
                <c:pt idx="22">
                  <c:v>1.8341041711255918E-2</c:v>
                </c:pt>
                <c:pt idx="23">
                  <c:v>1.861422068322997E-2</c:v>
                </c:pt>
                <c:pt idx="24">
                  <c:v>1.8911316160149995E-2</c:v>
                </c:pt>
                <c:pt idx="25">
                  <c:v>1.919651210807399E-2</c:v>
                </c:pt>
                <c:pt idx="26">
                  <c:v>1.9466224444912195E-2</c:v>
                </c:pt>
                <c:pt idx="27">
                  <c:v>1.9719444359248137E-2</c:v>
                </c:pt>
                <c:pt idx="28">
                  <c:v>1.9959024424568737E-2</c:v>
                </c:pt>
                <c:pt idx="29">
                  <c:v>2.0192975041038612E-2</c:v>
                </c:pt>
                <c:pt idx="30">
                  <c:v>2.0416902858955168E-2</c:v>
                </c:pt>
                <c:pt idx="31">
                  <c:v>2.0629494185410126E-2</c:v>
                </c:pt>
                <c:pt idx="32">
                  <c:v>2.0829200360565955E-2</c:v>
                </c:pt>
                <c:pt idx="33">
                  <c:v>2.1025962265130482E-2</c:v>
                </c:pt>
                <c:pt idx="34">
                  <c:v>2.1216064924569476E-2</c:v>
                </c:pt>
                <c:pt idx="35">
                  <c:v>2.1398124740849803E-2</c:v>
                </c:pt>
                <c:pt idx="36">
                  <c:v>2.1592689614149816E-2</c:v>
                </c:pt>
                <c:pt idx="37">
                  <c:v>2.1787265557788951E-2</c:v>
                </c:pt>
                <c:pt idx="38">
                  <c:v>2.1976328065726535E-2</c:v>
                </c:pt>
                <c:pt idx="39">
                  <c:v>2.2158346603549366E-2</c:v>
                </c:pt>
                <c:pt idx="40">
                  <c:v>2.2339066069777303E-2</c:v>
                </c:pt>
                <c:pt idx="41">
                  <c:v>2.2517572846180407E-2</c:v>
                </c:pt>
                <c:pt idx="42">
                  <c:v>2.2691975094964865E-2</c:v>
                </c:pt>
                <c:pt idx="43">
                  <c:v>2.2860745177724365E-2</c:v>
                </c:pt>
                <c:pt idx="44">
                  <c:v>2.3024272383624519E-2</c:v>
                </c:pt>
                <c:pt idx="45">
                  <c:v>2.3188201361681735E-2</c:v>
                </c:pt>
                <c:pt idx="46">
                  <c:v>2.3349095383342944E-2</c:v>
                </c:pt>
                <c:pt idx="47">
                  <c:v>2.350546568791911E-2</c:v>
                </c:pt>
                <c:pt idx="48">
                  <c:v>2.3656471701680507E-2</c:v>
                </c:pt>
                <c:pt idx="49">
                  <c:v>2.3808386907639527E-2</c:v>
                </c:pt>
                <c:pt idx="50">
                  <c:v>2.3958055600443246E-2</c:v>
                </c:pt>
                <c:pt idx="51">
                  <c:v>2.4104037487671006E-2</c:v>
                </c:pt>
                <c:pt idx="52">
                  <c:v>2.424653494896092E-2</c:v>
                </c:pt>
                <c:pt idx="53">
                  <c:v>2.4390394852302041E-2</c:v>
                </c:pt>
                <c:pt idx="54">
                  <c:v>2.4532551764961101E-2</c:v>
                </c:pt>
                <c:pt idx="55">
                  <c:v>2.4671599236371196E-2</c:v>
                </c:pt>
                <c:pt idx="56">
                  <c:v>2.4809193438944176E-2</c:v>
                </c:pt>
                <c:pt idx="57">
                  <c:v>2.4946919415838438E-2</c:v>
                </c:pt>
                <c:pt idx="58">
                  <c:v>2.5083349017980292E-2</c:v>
                </c:pt>
                <c:pt idx="59">
                  <c:v>2.5217104419278911E-2</c:v>
                </c:pt>
                <c:pt idx="60">
                  <c:v>2.5309207611000788E-2</c:v>
                </c:pt>
                <c:pt idx="61">
                  <c:v>2.5400546525702852E-2</c:v>
                </c:pt>
                <c:pt idx="62">
                  <c:v>2.5491745836350953E-2</c:v>
                </c:pt>
                <c:pt idx="63">
                  <c:v>2.5581838076521733E-2</c:v>
                </c:pt>
                <c:pt idx="64">
                  <c:v>2.5670846773547924E-2</c:v>
                </c:pt>
                <c:pt idx="65">
                  <c:v>2.5761756451452903E-2</c:v>
                </c:pt>
                <c:pt idx="66">
                  <c:v>2.585260663284443E-2</c:v>
                </c:pt>
                <c:pt idx="67">
                  <c:v>2.594242790586767E-2</c:v>
                </c:pt>
                <c:pt idx="68">
                  <c:v>2.6031237370495373E-2</c:v>
                </c:pt>
                <c:pt idx="69">
                  <c:v>2.6122010263135469E-2</c:v>
                </c:pt>
                <c:pt idx="70">
                  <c:v>2.621278769343614E-2</c:v>
                </c:pt>
                <c:pt idx="71">
                  <c:v>2.6302596722453154E-2</c:v>
                </c:pt>
                <c:pt idx="72">
                  <c:v>2.6392437004742218E-2</c:v>
                </c:pt>
                <c:pt idx="73">
                  <c:v>2.6483308931454445E-2</c:v>
                </c:pt>
                <c:pt idx="74">
                  <c:v>2.6574237619694501E-2</c:v>
                </c:pt>
                <c:pt idx="75">
                  <c:v>2.6664245171560796E-2</c:v>
                </c:pt>
                <c:pt idx="76">
                  <c:v>2.6753339932519625E-2</c:v>
                </c:pt>
                <c:pt idx="77">
                  <c:v>2.6844503368417361E-2</c:v>
                </c:pt>
                <c:pt idx="78">
                  <c:v>2.693576662804573E-2</c:v>
                </c:pt>
                <c:pt idx="79">
                  <c:v>2.7026145604210877E-2</c:v>
                </c:pt>
                <c:pt idx="80">
                  <c:v>2.7056816368670057E-2</c:v>
                </c:pt>
                <c:pt idx="81">
                  <c:v>2.7084466167399828E-2</c:v>
                </c:pt>
                <c:pt idx="82">
                  <c:v>2.7113142306160968E-2</c:v>
                </c:pt>
                <c:pt idx="83">
                  <c:v>2.7142488055224651E-2</c:v>
                </c:pt>
                <c:pt idx="84">
                  <c:v>2.7172445032265891E-2</c:v>
                </c:pt>
                <c:pt idx="85">
                  <c:v>2.7204001801024062E-2</c:v>
                </c:pt>
                <c:pt idx="86">
                  <c:v>2.7236478121367976E-2</c:v>
                </c:pt>
                <c:pt idx="87">
                  <c:v>2.7269482719199573E-2</c:v>
                </c:pt>
                <c:pt idx="88">
                  <c:v>2.730334173886086E-2</c:v>
                </c:pt>
                <c:pt idx="89">
                  <c:v>2.7338420018813151E-2</c:v>
                </c:pt>
                <c:pt idx="90">
                  <c:v>2.7374329527996413E-2</c:v>
                </c:pt>
                <c:pt idx="91">
                  <c:v>2.7410647110569491E-2</c:v>
                </c:pt>
                <c:pt idx="92">
                  <c:v>2.7447328657942079E-2</c:v>
                </c:pt>
                <c:pt idx="93">
                  <c:v>2.7485592063253642E-2</c:v>
                </c:pt>
                <c:pt idx="94">
                  <c:v>2.7524613521522467E-2</c:v>
                </c:pt>
                <c:pt idx="95">
                  <c:v>2.7563940439680308E-2</c:v>
                </c:pt>
                <c:pt idx="96">
                  <c:v>2.7603533909398736E-2</c:v>
                </c:pt>
                <c:pt idx="97">
                  <c:v>2.7644710680323484E-2</c:v>
                </c:pt>
                <c:pt idx="98">
                  <c:v>2.7686584307016374E-2</c:v>
                </c:pt>
                <c:pt idx="99">
                  <c:v>2.7728674779992052E-2</c:v>
                </c:pt>
                <c:pt idx="100">
                  <c:v>2.7728254818804969E-2</c:v>
                </c:pt>
                <c:pt idx="101">
                  <c:v>2.7726643648052302E-2</c:v>
                </c:pt>
                <c:pt idx="102">
                  <c:v>2.7726165882629772E-2</c:v>
                </c:pt>
                <c:pt idx="103">
                  <c:v>2.772678038081108E-2</c:v>
                </c:pt>
                <c:pt idx="104">
                  <c:v>2.7728449414277757E-2</c:v>
                </c:pt>
                <c:pt idx="105">
                  <c:v>2.7731182775278727E-2</c:v>
                </c:pt>
                <c:pt idx="106">
                  <c:v>2.7734942606616863E-2</c:v>
                </c:pt>
                <c:pt idx="107">
                  <c:v>2.7739647481829312E-2</c:v>
                </c:pt>
                <c:pt idx="108">
                  <c:v>2.7745242750417193E-2</c:v>
                </c:pt>
                <c:pt idx="109">
                  <c:v>2.7751908612997325E-2</c:v>
                </c:pt>
                <c:pt idx="110">
                  <c:v>2.7759509532045423E-2</c:v>
                </c:pt>
                <c:pt idx="111">
                  <c:v>2.7767927153326117E-2</c:v>
                </c:pt>
                <c:pt idx="112">
                  <c:v>2.7777112761881929E-2</c:v>
                </c:pt>
                <c:pt idx="113">
                  <c:v>2.7787367910308329E-2</c:v>
                </c:pt>
                <c:pt idx="114">
                  <c:v>2.779847933801409E-2</c:v>
                </c:pt>
                <c:pt idx="115">
                  <c:v>2.7810428928870888E-2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98A-861E-7EA832C3EBD8}"/>
            </c:ext>
          </c:extLst>
        </c:ser>
        <c:ser>
          <c:idx val="2"/>
          <c:order val="2"/>
          <c:tx>
            <c:strRef>
              <c:f>MarketViewer!$R$6</c:f>
              <c:strCache>
                <c:ptCount val="1"/>
                <c:pt idx="0">
                  <c:v>AUDSwap3m.ZeroRates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MarketViewer!$O$7:$O$122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MarketViewer!$R$7:$R$122</c:f>
              <c:numCache>
                <c:formatCode>0.00%</c:formatCode>
                <c:ptCount val="116"/>
                <c:pt idx="0">
                  <c:v>6.1541776429081612E-4</c:v>
                </c:pt>
                <c:pt idx="1">
                  <c:v>1.3429679415275274E-3</c:v>
                </c:pt>
                <c:pt idx="2">
                  <c:v>3.2562397079445434E-3</c:v>
                </c:pt>
                <c:pt idx="3">
                  <c:v>3.8633410103057469E-3</c:v>
                </c:pt>
                <c:pt idx="4">
                  <c:v>5.8550265388879856E-3</c:v>
                </c:pt>
                <c:pt idx="5">
                  <c:v>7.2943438361157175E-3</c:v>
                </c:pt>
                <c:pt idx="6">
                  <c:v>8.3260394774136489E-3</c:v>
                </c:pt>
                <c:pt idx="7">
                  <c:v>9.0968131790170274E-3</c:v>
                </c:pt>
                <c:pt idx="8">
                  <c:v>1.0351343417200707E-2</c:v>
                </c:pt>
                <c:pt idx="9">
                  <c:v>1.1406674153917837E-2</c:v>
                </c:pt>
                <c:pt idx="10">
                  <c:v>1.2278375205133293E-2</c:v>
                </c:pt>
                <c:pt idx="11">
                  <c:v>1.3005367584496478E-2</c:v>
                </c:pt>
                <c:pt idx="12">
                  <c:v>1.3656137435038676E-2</c:v>
                </c:pt>
                <c:pt idx="13">
                  <c:v>1.4237111930673381E-2</c:v>
                </c:pt>
                <c:pt idx="14">
                  <c:v>1.4747652677196922E-2</c:v>
                </c:pt>
                <c:pt idx="15">
                  <c:v>1.5196442512811437E-2</c:v>
                </c:pt>
                <c:pt idx="16">
                  <c:v>1.5605976121519502E-2</c:v>
                </c:pt>
                <c:pt idx="17">
                  <c:v>1.5985424077549021E-2</c:v>
                </c:pt>
                <c:pt idx="18">
                  <c:v>1.6330888529684312E-2</c:v>
                </c:pt>
                <c:pt idx="19">
                  <c:v>1.6644235057123025E-2</c:v>
                </c:pt>
                <c:pt idx="20">
                  <c:v>1.6979922114756331E-2</c:v>
                </c:pt>
                <c:pt idx="21">
                  <c:v>1.7300504021427146E-2</c:v>
                </c:pt>
                <c:pt idx="22">
                  <c:v>1.7598813489176506E-2</c:v>
                </c:pt>
                <c:pt idx="23">
                  <c:v>1.7874751567156233E-2</c:v>
                </c:pt>
                <c:pt idx="24">
                  <c:v>1.8172241067418139E-2</c:v>
                </c:pt>
                <c:pt idx="25">
                  <c:v>1.8457403165175103E-2</c:v>
                </c:pt>
                <c:pt idx="26">
                  <c:v>1.8726784482413515E-2</c:v>
                </c:pt>
                <c:pt idx="27">
                  <c:v>1.8979413665215786E-2</c:v>
                </c:pt>
                <c:pt idx="28">
                  <c:v>1.9215271689386831E-2</c:v>
                </c:pt>
                <c:pt idx="29">
                  <c:v>1.9445210304943974E-2</c:v>
                </c:pt>
                <c:pt idx="30">
                  <c:v>1.9665082628903225E-2</c:v>
                </c:pt>
                <c:pt idx="31">
                  <c:v>1.9873621315722897E-2</c:v>
                </c:pt>
                <c:pt idx="32">
                  <c:v>2.0073336181465392E-2</c:v>
                </c:pt>
                <c:pt idx="33">
                  <c:v>2.0270086618724006E-2</c:v>
                </c:pt>
                <c:pt idx="34">
                  <c:v>2.0459948353812662E-2</c:v>
                </c:pt>
                <c:pt idx="35">
                  <c:v>2.0641561171814954E-2</c:v>
                </c:pt>
                <c:pt idx="36">
                  <c:v>2.0840235044667827E-2</c:v>
                </c:pt>
                <c:pt idx="37">
                  <c:v>2.1038998155950599E-2</c:v>
                </c:pt>
                <c:pt idx="38">
                  <c:v>2.1231871987466844E-2</c:v>
                </c:pt>
                <c:pt idx="39">
                  <c:v>2.1417317228498205E-2</c:v>
                </c:pt>
                <c:pt idx="40">
                  <c:v>2.1591838697343043E-2</c:v>
                </c:pt>
                <c:pt idx="41">
                  <c:v>2.1763518614195284E-2</c:v>
                </c:pt>
                <c:pt idx="42">
                  <c:v>2.1931148681009528E-2</c:v>
                </c:pt>
                <c:pt idx="43">
                  <c:v>2.2093268078987944E-2</c:v>
                </c:pt>
                <c:pt idx="44">
                  <c:v>2.2250259288017604E-2</c:v>
                </c:pt>
                <c:pt idx="45">
                  <c:v>2.2407544853922694E-2</c:v>
                </c:pt>
                <c:pt idx="46">
                  <c:v>2.2561829111010404E-2</c:v>
                </c:pt>
                <c:pt idx="47">
                  <c:v>2.2711690419993266E-2</c:v>
                </c:pt>
                <c:pt idx="48">
                  <c:v>2.2852775606180844E-2</c:v>
                </c:pt>
                <c:pt idx="49">
                  <c:v>2.2994485738129015E-2</c:v>
                </c:pt>
                <c:pt idx="50">
                  <c:v>2.313407024720197E-2</c:v>
                </c:pt>
                <c:pt idx="51">
                  <c:v>2.3270187238255653E-2</c:v>
                </c:pt>
                <c:pt idx="52">
                  <c:v>2.3403027173138465E-2</c:v>
                </c:pt>
                <c:pt idx="53">
                  <c:v>2.3537108722673176E-2</c:v>
                </c:pt>
                <c:pt idx="54">
                  <c:v>2.3669574609331386E-2</c:v>
                </c:pt>
                <c:pt idx="55">
                  <c:v>2.3799115419148593E-2</c:v>
                </c:pt>
                <c:pt idx="56">
                  <c:v>2.3927275198527151E-2</c:v>
                </c:pt>
                <c:pt idx="57">
                  <c:v>2.4055530478058276E-2</c:v>
                </c:pt>
                <c:pt idx="58">
                  <c:v>2.4182551460523848E-2</c:v>
                </c:pt>
                <c:pt idx="59">
                  <c:v>2.430705633726183E-2</c:v>
                </c:pt>
                <c:pt idx="60">
                  <c:v>2.4389194553063029E-2</c:v>
                </c:pt>
                <c:pt idx="61">
                  <c:v>2.4470372527670949E-2</c:v>
                </c:pt>
                <c:pt idx="62">
                  <c:v>2.4551490576324348E-2</c:v>
                </c:pt>
                <c:pt idx="63">
                  <c:v>2.4631683942498091E-2</c:v>
                </c:pt>
                <c:pt idx="64">
                  <c:v>2.4710968673016073E-2</c:v>
                </c:pt>
                <c:pt idx="65">
                  <c:v>2.4792001336658768E-2</c:v>
                </c:pt>
                <c:pt idx="66">
                  <c:v>2.487303351856765E-2</c:v>
                </c:pt>
                <c:pt idx="67">
                  <c:v>2.4953197167866214E-2</c:v>
                </c:pt>
                <c:pt idx="68">
                  <c:v>2.503250358970666E-2</c:v>
                </c:pt>
                <c:pt idx="69">
                  <c:v>2.5113608140627547E-2</c:v>
                </c:pt>
                <c:pt idx="70">
                  <c:v>2.5194759843114676E-2</c:v>
                </c:pt>
                <c:pt idx="71">
                  <c:v>2.5275086165209425E-2</c:v>
                </c:pt>
                <c:pt idx="72">
                  <c:v>2.5355478607634652E-2</c:v>
                </c:pt>
                <c:pt idx="73">
                  <c:v>2.543683111466627E-2</c:v>
                </c:pt>
                <c:pt idx="74">
                  <c:v>2.5518269731593626E-2</c:v>
                </c:pt>
                <c:pt idx="75">
                  <c:v>2.5598916363210628E-2</c:v>
                </c:pt>
                <c:pt idx="76">
                  <c:v>2.5678775845282543E-2</c:v>
                </c:pt>
                <c:pt idx="77">
                  <c:v>2.5760519579277136E-2</c:v>
                </c:pt>
                <c:pt idx="78">
                  <c:v>2.5842381650892723E-2</c:v>
                </c:pt>
                <c:pt idx="79">
                  <c:v>2.5923477463159279E-2</c:v>
                </c:pt>
                <c:pt idx="80">
                  <c:v>2.5943664442035073E-2</c:v>
                </c:pt>
                <c:pt idx="81">
                  <c:v>2.596055357839018E-2</c:v>
                </c:pt>
                <c:pt idx="82">
                  <c:v>2.5978529543392859E-2</c:v>
                </c:pt>
                <c:pt idx="83">
                  <c:v>2.5997347495020445E-2</c:v>
                </c:pt>
                <c:pt idx="84">
                  <c:v>2.601694402548255E-2</c:v>
                </c:pt>
                <c:pt idx="85">
                  <c:v>2.6037960084759119E-2</c:v>
                </c:pt>
                <c:pt idx="86">
                  <c:v>2.6059943174915997E-2</c:v>
                </c:pt>
                <c:pt idx="87">
                  <c:v>2.608261243550189E-2</c:v>
                </c:pt>
                <c:pt idx="88">
                  <c:v>2.6106176989332118E-2</c:v>
                </c:pt>
                <c:pt idx="89">
                  <c:v>2.6130886570612546E-2</c:v>
                </c:pt>
                <c:pt idx="90">
                  <c:v>2.6156463918500197E-2</c:v>
                </c:pt>
                <c:pt idx="91">
                  <c:v>2.618259516572791E-2</c:v>
                </c:pt>
                <c:pt idx="92">
                  <c:v>2.6209232844812341E-2</c:v>
                </c:pt>
                <c:pt idx="93">
                  <c:v>2.6237258333488899E-2</c:v>
                </c:pt>
                <c:pt idx="94">
                  <c:v>2.6266069167802594E-2</c:v>
                </c:pt>
                <c:pt idx="95">
                  <c:v>2.6295321229715177E-2</c:v>
                </c:pt>
                <c:pt idx="96">
                  <c:v>2.6324972867134481E-2</c:v>
                </c:pt>
                <c:pt idx="97">
                  <c:v>2.6356007897927834E-2</c:v>
                </c:pt>
                <c:pt idx="98">
                  <c:v>2.6387759168935866E-2</c:v>
                </c:pt>
                <c:pt idx="99">
                  <c:v>2.6419854603260233E-2</c:v>
                </c:pt>
                <c:pt idx="100">
                  <c:v>2.6406920445149758E-2</c:v>
                </c:pt>
                <c:pt idx="101">
                  <c:v>2.6392444228794915E-2</c:v>
                </c:pt>
                <c:pt idx="102">
                  <c:v>2.637917143834272E-2</c:v>
                </c:pt>
                <c:pt idx="103">
                  <c:v>2.6367195873895265E-2</c:v>
                </c:pt>
                <c:pt idx="104">
                  <c:v>2.635633750928823E-2</c:v>
                </c:pt>
                <c:pt idx="105">
                  <c:v>2.6346466705890716E-2</c:v>
                </c:pt>
                <c:pt idx="106">
                  <c:v>2.6337680874385445E-2</c:v>
                </c:pt>
                <c:pt idx="107">
                  <c:v>2.6330031414176461E-2</c:v>
                </c:pt>
                <c:pt idx="108">
                  <c:v>2.6323459445372496E-2</c:v>
                </c:pt>
                <c:pt idx="109">
                  <c:v>2.6317738045049634E-2</c:v>
                </c:pt>
                <c:pt idx="110">
                  <c:v>2.6313000250477572E-2</c:v>
                </c:pt>
                <c:pt idx="111">
                  <c:v>2.630925878174251E-2</c:v>
                </c:pt>
                <c:pt idx="112">
                  <c:v>2.6306461316242789E-2</c:v>
                </c:pt>
                <c:pt idx="113">
                  <c:v>2.6304508578166533E-2</c:v>
                </c:pt>
                <c:pt idx="114">
                  <c:v>2.6303451988461308E-2</c:v>
                </c:pt>
                <c:pt idx="115">
                  <c:v>2.6303271418053411E-2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6-498A-861E-7EA832C3EBD8}"/>
            </c:ext>
          </c:extLst>
        </c:ser>
        <c:ser>
          <c:idx val="3"/>
          <c:order val="3"/>
          <c:tx>
            <c:strRef>
              <c:f>MarketViewer!$S$6</c:f>
              <c:strCache>
                <c:ptCount val="1"/>
                <c:pt idx="0">
                  <c:v>AUDSwap1m.FwdRates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MarketViewer!$S$7:$S$122</c:f>
              <c:numCache>
                <c:formatCode>0.00%</c:formatCode>
                <c:ptCount val="116"/>
                <c:pt idx="0">
                  <c:v>2.492611628184743E-3</c:v>
                </c:pt>
                <c:pt idx="1">
                  <c:v>5.5180833839378659E-3</c:v>
                </c:pt>
                <c:pt idx="2">
                  <c:v>4.577502149640921E-3</c:v>
                </c:pt>
                <c:pt idx="3">
                  <c:v>1.5504183078978804E-2</c:v>
                </c:pt>
                <c:pt idx="4">
                  <c:v>1.6086411168178452E-2</c:v>
                </c:pt>
                <c:pt idx="5">
                  <c:v>1.6086411168178452E-2</c:v>
                </c:pt>
                <c:pt idx="6">
                  <c:v>1.6086057168456614E-2</c:v>
                </c:pt>
                <c:pt idx="7">
                  <c:v>1.7036728851767709E-2</c:v>
                </c:pt>
                <c:pt idx="8">
                  <c:v>1.7087073330638917E-2</c:v>
                </c:pt>
                <c:pt idx="9">
                  <c:v>1.7087073330638917E-2</c:v>
                </c:pt>
                <c:pt idx="10">
                  <c:v>1.7086673953547186E-2</c:v>
                </c:pt>
                <c:pt idx="11">
                  <c:v>1.9718397291471686E-2</c:v>
                </c:pt>
                <c:pt idx="12">
                  <c:v>1.9925867261277729E-2</c:v>
                </c:pt>
                <c:pt idx="13">
                  <c:v>1.9925867261277729E-2</c:v>
                </c:pt>
                <c:pt idx="14">
                  <c:v>1.9925324288738819E-2</c:v>
                </c:pt>
                <c:pt idx="15">
                  <c:v>2.006976652431763E-2</c:v>
                </c:pt>
                <c:pt idx="16">
                  <c:v>2.0080382610685694E-2</c:v>
                </c:pt>
                <c:pt idx="17">
                  <c:v>2.0080382610685694E-2</c:v>
                </c:pt>
                <c:pt idx="18">
                  <c:v>2.007983119173682E-2</c:v>
                </c:pt>
                <c:pt idx="19">
                  <c:v>2.0976682412274041E-2</c:v>
                </c:pt>
                <c:pt idx="20">
                  <c:v>2.1025589216167206E-2</c:v>
                </c:pt>
                <c:pt idx="21">
                  <c:v>2.1025589216167206E-2</c:v>
                </c:pt>
                <c:pt idx="22">
                  <c:v>2.1024984711963287E-2</c:v>
                </c:pt>
                <c:pt idx="23">
                  <c:v>2.181440749856732E-2</c:v>
                </c:pt>
                <c:pt idx="24">
                  <c:v>2.1856533428360806E-2</c:v>
                </c:pt>
                <c:pt idx="25">
                  <c:v>2.1856533428360806E-2</c:v>
                </c:pt>
                <c:pt idx="26">
                  <c:v>2.1855880245171089E-2</c:v>
                </c:pt>
                <c:pt idx="27">
                  <c:v>2.2036203279478653E-2</c:v>
                </c:pt>
                <c:pt idx="28">
                  <c:v>2.2047150653115105E-2</c:v>
                </c:pt>
                <c:pt idx="29">
                  <c:v>2.2047150653115105E-2</c:v>
                </c:pt>
                <c:pt idx="30">
                  <c:v>2.2046486037760903E-2</c:v>
                </c:pt>
                <c:pt idx="31">
                  <c:v>2.2087330944085513E-2</c:v>
                </c:pt>
                <c:pt idx="32">
                  <c:v>2.2090871446050001E-2</c:v>
                </c:pt>
                <c:pt idx="33">
                  <c:v>2.2090871446050882E-2</c:v>
                </c:pt>
                <c:pt idx="34">
                  <c:v>2.2090204194608238E-2</c:v>
                </c:pt>
                <c:pt idx="35">
                  <c:v>2.2608361817916811E-2</c:v>
                </c:pt>
                <c:pt idx="36">
                  <c:v>2.2650434227953015E-2</c:v>
                </c:pt>
                <c:pt idx="37">
                  <c:v>2.2650434227953015E-2</c:v>
                </c:pt>
                <c:pt idx="38">
                  <c:v>2.2649732778588706E-2</c:v>
                </c:pt>
                <c:pt idx="39">
                  <c:v>2.2841274652124523E-2</c:v>
                </c:pt>
                <c:pt idx="40">
                  <c:v>2.2854409897793752E-2</c:v>
                </c:pt>
                <c:pt idx="41">
                  <c:v>2.2854409897793752E-2</c:v>
                </c:pt>
                <c:pt idx="42">
                  <c:v>2.2853695770237607E-2</c:v>
                </c:pt>
                <c:pt idx="43">
                  <c:v>2.2852981672419944E-2</c:v>
                </c:pt>
                <c:pt idx="44">
                  <c:v>2.2854409897793752E-2</c:v>
                </c:pt>
                <c:pt idx="45">
                  <c:v>2.285440989779287E-2</c:v>
                </c:pt>
                <c:pt idx="46">
                  <c:v>2.2853695770238498E-2</c:v>
                </c:pt>
                <c:pt idx="47">
                  <c:v>2.2535883333745246E-2</c:v>
                </c:pt>
                <c:pt idx="48">
                  <c:v>2.2520418719798596E-2</c:v>
                </c:pt>
                <c:pt idx="49">
                  <c:v>2.2520418719797715E-2</c:v>
                </c:pt>
                <c:pt idx="50">
                  <c:v>2.2519725292457098E-2</c:v>
                </c:pt>
                <c:pt idx="51">
                  <c:v>2.2519031893571333E-2</c:v>
                </c:pt>
                <c:pt idx="52">
                  <c:v>2.2520418719797715E-2</c:v>
                </c:pt>
                <c:pt idx="53">
                  <c:v>2.2520418719797715E-2</c:v>
                </c:pt>
                <c:pt idx="54">
                  <c:v>2.2519725292457098E-2</c:v>
                </c:pt>
                <c:pt idx="55">
                  <c:v>2.2519725292457098E-2</c:v>
                </c:pt>
                <c:pt idx="56">
                  <c:v>2.2520418719798596E-2</c:v>
                </c:pt>
                <c:pt idx="57">
                  <c:v>2.2520418719797715E-2</c:v>
                </c:pt>
                <c:pt idx="58">
                  <c:v>2.2519725292457986E-2</c:v>
                </c:pt>
                <c:pt idx="59">
                  <c:v>2.0707954142956009E-2</c:v>
                </c:pt>
                <c:pt idx="60">
                  <c:v>2.0590309321246964E-2</c:v>
                </c:pt>
                <c:pt idx="61">
                  <c:v>2.0590309321246083E-2</c:v>
                </c:pt>
                <c:pt idx="62">
                  <c:v>2.0589729565961359E-2</c:v>
                </c:pt>
                <c:pt idx="63">
                  <c:v>2.058914983243227E-2</c:v>
                </c:pt>
                <c:pt idx="64">
                  <c:v>2.0590309321246964E-2</c:v>
                </c:pt>
                <c:pt idx="65">
                  <c:v>2.0590309321246083E-2</c:v>
                </c:pt>
                <c:pt idx="66">
                  <c:v>2.0589729565961359E-2</c:v>
                </c:pt>
                <c:pt idx="67">
                  <c:v>2.058914983243227E-2</c:v>
                </c:pt>
                <c:pt idx="68">
                  <c:v>2.0590309321246083E-2</c:v>
                </c:pt>
                <c:pt idx="69">
                  <c:v>2.0590309321246964E-2</c:v>
                </c:pt>
                <c:pt idx="70">
                  <c:v>2.0589729565961359E-2</c:v>
                </c:pt>
                <c:pt idx="71">
                  <c:v>2.0589729565961359E-2</c:v>
                </c:pt>
                <c:pt idx="72">
                  <c:v>2.0590309321246964E-2</c:v>
                </c:pt>
                <c:pt idx="73">
                  <c:v>2.0590309321246964E-2</c:v>
                </c:pt>
                <c:pt idx="74">
                  <c:v>2.0589729565961359E-2</c:v>
                </c:pt>
                <c:pt idx="75">
                  <c:v>2.058914983243227E-2</c:v>
                </c:pt>
                <c:pt idx="76">
                  <c:v>2.0590309321246964E-2</c:v>
                </c:pt>
                <c:pt idx="77">
                  <c:v>2.0590309321246083E-2</c:v>
                </c:pt>
                <c:pt idx="78">
                  <c:v>2.0589729565961359E-2</c:v>
                </c:pt>
                <c:pt idx="79">
                  <c:v>1.7336129700580048E-2</c:v>
                </c:pt>
                <c:pt idx="80">
                  <c:v>1.7082058109735454E-2</c:v>
                </c:pt>
                <c:pt idx="81">
                  <c:v>1.7082058109736335E-2</c:v>
                </c:pt>
                <c:pt idx="82">
                  <c:v>1.7081658966883805E-2</c:v>
                </c:pt>
                <c:pt idx="83">
                  <c:v>1.7081259836459955E-2</c:v>
                </c:pt>
                <c:pt idx="84">
                  <c:v>1.7082058109736335E-2</c:v>
                </c:pt>
                <c:pt idx="85">
                  <c:v>1.7082058109736335E-2</c:v>
                </c:pt>
                <c:pt idx="86">
                  <c:v>1.7081658966882917E-2</c:v>
                </c:pt>
                <c:pt idx="87">
                  <c:v>1.7081658966882917E-2</c:v>
                </c:pt>
                <c:pt idx="88">
                  <c:v>1.7082058109735454E-2</c:v>
                </c:pt>
                <c:pt idx="89">
                  <c:v>1.7082058109736335E-2</c:v>
                </c:pt>
                <c:pt idx="90">
                  <c:v>1.7081658966882917E-2</c:v>
                </c:pt>
                <c:pt idx="91">
                  <c:v>1.7081259836459955E-2</c:v>
                </c:pt>
                <c:pt idx="92">
                  <c:v>1.7082058109736335E-2</c:v>
                </c:pt>
                <c:pt idx="93">
                  <c:v>1.7082058109736335E-2</c:v>
                </c:pt>
                <c:pt idx="94">
                  <c:v>1.7081658966882917E-2</c:v>
                </c:pt>
                <c:pt idx="95">
                  <c:v>1.7081259836459955E-2</c:v>
                </c:pt>
                <c:pt idx="96">
                  <c:v>1.7082058109735454E-2</c:v>
                </c:pt>
                <c:pt idx="97">
                  <c:v>1.7082058109736335E-2</c:v>
                </c:pt>
                <c:pt idx="98">
                  <c:v>1.7081658966882917E-2</c:v>
                </c:pt>
                <c:pt idx="99">
                  <c:v>1.4285334149943683E-2</c:v>
                </c:pt>
                <c:pt idx="100">
                  <c:v>1.4137345855059514E-2</c:v>
                </c:pt>
                <c:pt idx="101">
                  <c:v>1.4137345855060395E-2</c:v>
                </c:pt>
                <c:pt idx="102">
                  <c:v>1.4137072396158116E-2</c:v>
                </c:pt>
                <c:pt idx="103">
                  <c:v>1.4137072396158116E-2</c:v>
                </c:pt>
                <c:pt idx="104">
                  <c:v>1.4137345855060395E-2</c:v>
                </c:pt>
                <c:pt idx="105">
                  <c:v>1.4137345855059514E-2</c:v>
                </c:pt>
                <c:pt idx="106">
                  <c:v>1.4137072396159007E-2</c:v>
                </c:pt>
                <c:pt idx="107">
                  <c:v>1.4136798944306911E-2</c:v>
                </c:pt>
                <c:pt idx="108">
                  <c:v>1.4137345855059514E-2</c:v>
                </c:pt>
                <c:pt idx="109">
                  <c:v>1.4137345855059514E-2</c:v>
                </c:pt>
                <c:pt idx="110">
                  <c:v>1.4137072396158116E-2</c:v>
                </c:pt>
                <c:pt idx="111">
                  <c:v>1.4136798944306911E-2</c:v>
                </c:pt>
                <c:pt idx="112">
                  <c:v>1.4137345855059514E-2</c:v>
                </c:pt>
                <c:pt idx="113">
                  <c:v>1.4137345855059514E-2</c:v>
                </c:pt>
                <c:pt idx="114">
                  <c:v>1.4137072396158116E-2</c:v>
                </c:pt>
                <c:pt idx="115">
                  <c:v>1.4136798944306911E-2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6-498A-861E-7EA832C3E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205536"/>
        <c:axId val="791207504"/>
      </c:lineChart>
      <c:dateAx>
        <c:axId val="79120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7504"/>
        <c:crosses val="autoZero"/>
        <c:auto val="0"/>
        <c:lblOffset val="100"/>
        <c:baseTimeUnit val="days"/>
        <c:majorUnit val="10"/>
      </c:dateAx>
      <c:valAx>
        <c:axId val="7912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152400</xdr:colOff>
      <xdr:row>0</xdr:row>
      <xdr:rowOff>180975</xdr:rowOff>
    </xdr:from>
    <xdr:to>
      <xdr:col>36</xdr:col>
      <xdr:colOff>523875</xdr:colOff>
      <xdr:row>45</xdr:row>
      <xdr:rowOff>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F2099CA-5E96-4AD2-BE8B-D7597DF72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D0B-B345-4A67-B665-0A56B3B3FBD0}">
  <sheetPr codeName="Sheet1"/>
  <dimension ref="A2:W122"/>
  <sheetViews>
    <sheetView showGridLines="0" tabSelected="1" workbookViewId="0">
      <selection activeCell="S8" sqref="S8"/>
    </sheetView>
  </sheetViews>
  <sheetFormatPr defaultRowHeight="15" outlineLevelCol="1"/>
  <cols>
    <col min="1" max="1" width="14.140625" bestFit="1" customWidth="1"/>
    <col min="2" max="2" width="17.5703125" bestFit="1" customWidth="1"/>
    <col min="3" max="3" width="3.85546875" customWidth="1"/>
    <col min="4" max="4" width="9.42578125" hidden="1" customWidth="1" outlineLevel="1"/>
    <col min="5" max="5" width="17.42578125" hidden="1" customWidth="1" outlineLevel="1"/>
    <col min="6" max="6" width="17.5703125" hidden="1" customWidth="1" outlineLevel="1"/>
    <col min="7" max="7" width="68.140625" hidden="1" customWidth="1" outlineLevel="1"/>
    <col min="8" max="8" width="9.140625" hidden="1" customWidth="1" outlineLevel="1"/>
    <col min="9" max="9" width="14" hidden="1" customWidth="1" outlineLevel="1"/>
    <col min="10" max="10" width="29.42578125" hidden="1" customWidth="1" outlineLevel="1"/>
    <col min="11" max="11" width="4.28515625" customWidth="1" collapsed="1"/>
    <col min="12" max="13" width="13.28515625" customWidth="1"/>
    <col min="14" max="14" width="3.140625" customWidth="1"/>
    <col min="15" max="15" width="14.28515625" style="17" customWidth="1"/>
    <col min="16" max="18" width="17.42578125" customWidth="1"/>
    <col min="19" max="19" width="17.42578125" style="19" customWidth="1"/>
    <col min="23" max="23" width="13.28515625" style="5" customWidth="1"/>
  </cols>
  <sheetData>
    <row r="2" spans="1:23">
      <c r="A2" s="6" t="s">
        <v>1</v>
      </c>
      <c r="B2" s="7">
        <v>44561</v>
      </c>
      <c r="D2" s="6" t="s">
        <v>5</v>
      </c>
      <c r="E2" s="6" t="s">
        <v>6</v>
      </c>
      <c r="F2" s="6" t="s">
        <v>34</v>
      </c>
      <c r="G2" s="6" t="s">
        <v>7</v>
      </c>
      <c r="H2" s="6" t="s">
        <v>8</v>
      </c>
      <c r="I2" s="6" t="s">
        <v>32</v>
      </c>
      <c r="J2" s="6" t="s">
        <v>33</v>
      </c>
      <c r="L2" s="6" t="s">
        <v>36</v>
      </c>
      <c r="M2" s="26" t="s">
        <v>0</v>
      </c>
      <c r="O2" s="6" t="s">
        <v>47</v>
      </c>
      <c r="P2" s="15" t="s">
        <v>9</v>
      </c>
      <c r="Q2" s="15" t="s">
        <v>10</v>
      </c>
      <c r="R2" s="15" t="s">
        <v>13</v>
      </c>
      <c r="S2" s="15" t="s">
        <v>20</v>
      </c>
    </row>
    <row r="3" spans="1:23">
      <c r="A3" s="6" t="s">
        <v>2</v>
      </c>
      <c r="B3" s="8" t="str">
        <f>MarketCreate("baseMarket",valueDate,,buildItems,B6)</f>
        <v>baseMarket</v>
      </c>
      <c r="D3" s="11" t="b">
        <v>1</v>
      </c>
      <c r="E3" s="11" t="s">
        <v>23</v>
      </c>
      <c r="F3" s="11" t="s">
        <v>9</v>
      </c>
      <c r="G3" s="13" t="s">
        <v>15</v>
      </c>
      <c r="H3" s="11" t="s">
        <v>29</v>
      </c>
      <c r="I3" s="11"/>
      <c r="J3" s="11"/>
      <c r="L3" s="6" t="s">
        <v>37</v>
      </c>
      <c r="M3" s="27">
        <v>55153</v>
      </c>
      <c r="O3" s="6" t="s">
        <v>43</v>
      </c>
      <c r="P3" s="16" t="s">
        <v>44</v>
      </c>
      <c r="Q3" s="16" t="s">
        <v>44</v>
      </c>
      <c r="R3" s="16" t="s">
        <v>44</v>
      </c>
      <c r="S3" s="16" t="s">
        <v>54</v>
      </c>
    </row>
    <row r="4" spans="1:23">
      <c r="D4" s="12" t="b">
        <v>1</v>
      </c>
      <c r="E4" s="12" t="s">
        <v>23</v>
      </c>
      <c r="F4" s="12" t="s">
        <v>10</v>
      </c>
      <c r="G4" s="14" t="s">
        <v>35</v>
      </c>
      <c r="H4" s="12" t="s">
        <v>29</v>
      </c>
      <c r="I4" s="12"/>
      <c r="J4" s="12"/>
      <c r="L4" s="6" t="s">
        <v>39</v>
      </c>
      <c r="M4" s="15" t="s">
        <v>40</v>
      </c>
      <c r="O4" s="6" t="s">
        <v>45</v>
      </c>
      <c r="P4" s="15" t="s">
        <v>40</v>
      </c>
      <c r="Q4" s="15" t="s">
        <v>40</v>
      </c>
      <c r="R4" s="15" t="s">
        <v>40</v>
      </c>
      <c r="S4" s="15" t="s">
        <v>40</v>
      </c>
    </row>
    <row r="5" spans="1:23">
      <c r="A5" s="6" t="s">
        <v>3</v>
      </c>
      <c r="B5" s="15"/>
      <c r="D5" s="11" t="b">
        <v>1</v>
      </c>
      <c r="E5" s="11" t="s">
        <v>23</v>
      </c>
      <c r="F5" s="11" t="s">
        <v>11</v>
      </c>
      <c r="G5" s="13" t="s">
        <v>16</v>
      </c>
      <c r="H5" s="11" t="s">
        <v>30</v>
      </c>
      <c r="I5" s="11"/>
      <c r="J5" s="11"/>
      <c r="L5" s="6" t="s">
        <v>42</v>
      </c>
      <c r="M5" s="16" t="s">
        <v>46</v>
      </c>
      <c r="P5" s="1">
        <v>1</v>
      </c>
      <c r="Q5" s="1">
        <v>1</v>
      </c>
      <c r="R5" s="1">
        <v>1</v>
      </c>
      <c r="S5" s="18">
        <v>1</v>
      </c>
    </row>
    <row r="6" spans="1:23">
      <c r="A6" s="6" t="s">
        <v>4</v>
      </c>
      <c r="B6" s="16" t="b">
        <v>1</v>
      </c>
      <c r="D6" s="12" t="b">
        <v>1</v>
      </c>
      <c r="E6" s="12" t="s">
        <v>23</v>
      </c>
      <c r="F6" s="12" t="s">
        <v>12</v>
      </c>
      <c r="G6" s="14" t="s">
        <v>17</v>
      </c>
      <c r="H6" s="12" t="s">
        <v>31</v>
      </c>
      <c r="I6" s="12"/>
      <c r="J6" s="12"/>
      <c r="L6" s="6" t="s">
        <v>38</v>
      </c>
      <c r="M6" s="15" t="s">
        <v>41</v>
      </c>
      <c r="O6" s="6" t="str">
        <f t="array" ref="O6:O122">ScheduleCreate(M2,M3,M4,M5,M6)</f>
        <v>Dates</v>
      </c>
      <c r="P6" s="6" t="str">
        <f t="array" ref="P6:P122">IF(P5=1,MarketChartPoints(MarketHandle,P2,P3,O7:O122,P4),"")</f>
        <v>AUDBondGov.ZeroRates</v>
      </c>
      <c r="Q6" s="6" t="str">
        <f t="array" ref="Q6:Q122">IF(Q5=1,MarketChartPoints(MarketHandle,Q2,Q3,O7:O122,Q4),"")</f>
        <v>AUDSwap.ZeroRates</v>
      </c>
      <c r="R6" s="6" t="str">
        <f t="array" ref="R6:R122">IF(R5=1,MarketChartPoints(MarketHandle,R2,R3,O7:O122,R4),"")</f>
        <v>AUDSwap3m.ZeroRates</v>
      </c>
      <c r="S6" s="6" t="str">
        <f t="array" ref="S6:S122">IF(S5=1,MarketChartPoints(MarketHandle,S2,S3,O7:O122,S4),"")</f>
        <v>AUDSwap1m.FwdRates</v>
      </c>
    </row>
    <row r="7" spans="1:23">
      <c r="D7" s="11" t="b">
        <v>1</v>
      </c>
      <c r="E7" s="11" t="s">
        <v>23</v>
      </c>
      <c r="F7" s="11" t="s">
        <v>13</v>
      </c>
      <c r="G7" s="13" t="s">
        <v>18</v>
      </c>
      <c r="H7" s="11" t="s">
        <v>29</v>
      </c>
      <c r="I7" s="11" t="s">
        <v>10</v>
      </c>
      <c r="J7" s="11"/>
      <c r="O7" s="20" t="str">
        <v>30/03/2022</v>
      </c>
      <c r="P7" s="21">
        <v>8.2813824568202666E-4</v>
      </c>
      <c r="Q7" s="21">
        <v>6.1541776429081612E-4</v>
      </c>
      <c r="R7" s="21">
        <v>6.1541776429081612E-4</v>
      </c>
      <c r="S7" s="22">
        <v>2.492611628184743E-3</v>
      </c>
      <c r="W7" s="1"/>
    </row>
    <row r="8" spans="1:23">
      <c r="D8" s="12" t="b">
        <v>1</v>
      </c>
      <c r="E8" s="12" t="s">
        <v>23</v>
      </c>
      <c r="F8" s="12" t="s">
        <v>14</v>
      </c>
      <c r="G8" s="14" t="s">
        <v>19</v>
      </c>
      <c r="H8" s="12" t="s">
        <v>29</v>
      </c>
      <c r="I8" s="12" t="s">
        <v>10</v>
      </c>
      <c r="J8" s="12"/>
      <c r="O8" s="23" t="str">
        <v>30/06/2022</v>
      </c>
      <c r="P8" s="24">
        <v>8.2606739475069686E-4</v>
      </c>
      <c r="Q8" s="24">
        <v>2.0674730310476634E-3</v>
      </c>
      <c r="R8" s="24">
        <v>1.3429679415275274E-3</v>
      </c>
      <c r="S8" s="25">
        <v>5.5180833839378659E-3</v>
      </c>
      <c r="W8" s="1"/>
    </row>
    <row r="9" spans="1:23">
      <c r="A9" s="6" t="str">
        <f t="array" ref="A9:B18">MarketItems(B3)</f>
        <v>Currency</v>
      </c>
      <c r="B9" s="6" t="str">
        <v>Items</v>
      </c>
      <c r="D9" s="11" t="b">
        <v>1</v>
      </c>
      <c r="E9" s="11" t="s">
        <v>23</v>
      </c>
      <c r="F9" s="11" t="s">
        <v>20</v>
      </c>
      <c r="G9" s="13" t="s">
        <v>26</v>
      </c>
      <c r="H9" s="11" t="s">
        <v>29</v>
      </c>
      <c r="I9" s="11" t="s">
        <v>13</v>
      </c>
      <c r="J9" s="11"/>
      <c r="O9" s="20" t="str">
        <v>30/09/2022</v>
      </c>
      <c r="P9" s="21">
        <v>1.9067977691860887E-3</v>
      </c>
      <c r="Q9" s="21">
        <v>3.2562364674998947E-3</v>
      </c>
      <c r="R9" s="21">
        <v>3.2562397079445434E-3</v>
      </c>
      <c r="S9" s="22">
        <v>4.577502149640921E-3</v>
      </c>
      <c r="W9" s="1"/>
    </row>
    <row r="10" spans="1:23">
      <c r="A10" s="9" t="str">
        <v>AUD</v>
      </c>
      <c r="B10" s="9" t="str">
        <v>AUDBondGov</v>
      </c>
      <c r="D10" s="12" t="b">
        <v>1</v>
      </c>
      <c r="E10" s="12" t="s">
        <v>24</v>
      </c>
      <c r="F10" s="12" t="s">
        <v>21</v>
      </c>
      <c r="G10" s="14" t="s">
        <v>28</v>
      </c>
      <c r="H10" s="12" t="s">
        <v>29</v>
      </c>
      <c r="I10" s="12"/>
      <c r="J10" s="12"/>
      <c r="O10" s="23" t="str">
        <v>30/12/2022</v>
      </c>
      <c r="P10" s="24">
        <v>2.6708720199890945E-3</v>
      </c>
      <c r="Q10" s="24">
        <v>3.8633360716575568E-3</v>
      </c>
      <c r="R10" s="24">
        <v>3.8633410103057469E-3</v>
      </c>
      <c r="S10" s="25">
        <v>1.5504183078978804E-2</v>
      </c>
      <c r="W10" s="1"/>
    </row>
    <row r="11" spans="1:23">
      <c r="A11" s="10" t="str">
        <v>AUD</v>
      </c>
      <c r="B11" s="10" t="str">
        <v>AUDSwap</v>
      </c>
      <c r="D11" s="11" t="b">
        <v>1</v>
      </c>
      <c r="E11" s="11" t="s">
        <v>25</v>
      </c>
      <c r="F11" s="11" t="s">
        <v>22</v>
      </c>
      <c r="G11" s="13" t="s">
        <v>27</v>
      </c>
      <c r="H11" s="11" t="s">
        <v>29</v>
      </c>
      <c r="I11" s="11" t="s">
        <v>9</v>
      </c>
      <c r="J11" s="11" t="s">
        <v>21</v>
      </c>
      <c r="O11" s="20" t="str">
        <v>30/03/2023</v>
      </c>
      <c r="P11" s="21">
        <v>3.2096262562867615E-3</v>
      </c>
      <c r="Q11" s="21">
        <v>5.855021506569638E-3</v>
      </c>
      <c r="R11" s="21">
        <v>5.8550265388879856E-3</v>
      </c>
      <c r="S11" s="22">
        <v>1.6086411168178452E-2</v>
      </c>
      <c r="W11" s="1"/>
    </row>
    <row r="12" spans="1:23">
      <c r="A12" s="9" t="str">
        <v>GBP</v>
      </c>
      <c r="B12" s="9" t="str">
        <v>GBPOIS</v>
      </c>
      <c r="D12" s="12"/>
      <c r="E12" s="12"/>
      <c r="F12" s="12"/>
      <c r="G12" s="14"/>
      <c r="H12" s="12"/>
      <c r="I12" s="12"/>
      <c r="J12" s="12"/>
      <c r="O12" s="23" t="str">
        <v>30/06/2023</v>
      </c>
      <c r="P12" s="24">
        <v>4.081293011592272E-3</v>
      </c>
      <c r="Q12" s="24">
        <v>7.2943387754808514E-3</v>
      </c>
      <c r="R12" s="24">
        <v>7.2943438361157175E-3</v>
      </c>
      <c r="S12" s="25">
        <v>1.6086411168178452E-2</v>
      </c>
      <c r="W12" s="1"/>
    </row>
    <row r="13" spans="1:23">
      <c r="A13" s="10" t="str">
        <v>JPY</v>
      </c>
      <c r="B13" s="10" t="str">
        <v>JPYOIS</v>
      </c>
      <c r="D13" s="11"/>
      <c r="E13" s="11"/>
      <c r="F13" s="11"/>
      <c r="G13" s="13"/>
      <c r="H13" s="11"/>
      <c r="I13" s="11"/>
      <c r="J13" s="11"/>
      <c r="O13" s="20" t="str">
        <v>30/09/2023</v>
      </c>
      <c r="P13" s="21">
        <v>4.8364769242724322E-3</v>
      </c>
      <c r="Q13" s="21">
        <v>8.3260343912722346E-3</v>
      </c>
      <c r="R13" s="21">
        <v>8.3260394774136489E-3</v>
      </c>
      <c r="S13" s="22">
        <v>1.6086057168456614E-2</v>
      </c>
      <c r="W13" s="1"/>
    </row>
    <row r="14" spans="1:23">
      <c r="A14" s="9" t="str">
        <v>AUD</v>
      </c>
      <c r="B14" s="9" t="str">
        <v>AUDSwap3m</v>
      </c>
      <c r="D14" s="12"/>
      <c r="E14" s="12"/>
      <c r="F14" s="12"/>
      <c r="G14" s="14"/>
      <c r="H14" s="12"/>
      <c r="I14" s="12"/>
      <c r="J14" s="12"/>
      <c r="O14" s="23" t="str">
        <v>30/12/2023</v>
      </c>
      <c r="P14" s="24">
        <v>5.3986406426772566E-3</v>
      </c>
      <c r="Q14" s="24">
        <v>9.0968080693428575E-3</v>
      </c>
      <c r="R14" s="24">
        <v>9.0968131790170274E-3</v>
      </c>
      <c r="S14" s="25">
        <v>1.7036728851767709E-2</v>
      </c>
      <c r="W14" s="1"/>
    </row>
    <row r="15" spans="1:23">
      <c r="A15" s="10" t="str">
        <v>AUD</v>
      </c>
      <c r="B15" s="10" t="str">
        <v>AUDSwap6m</v>
      </c>
      <c r="D15" s="11"/>
      <c r="E15" s="11"/>
      <c r="F15" s="11"/>
      <c r="G15" s="13"/>
      <c r="H15" s="11"/>
      <c r="I15" s="11"/>
      <c r="J15" s="11"/>
      <c r="O15" s="20" t="str">
        <v>30/03/2024</v>
      </c>
      <c r="P15" s="21">
        <v>5.8384248115692268E-3</v>
      </c>
      <c r="Q15" s="21">
        <v>1.0351338913858085E-2</v>
      </c>
      <c r="R15" s="21">
        <v>1.0351343417200707E-2</v>
      </c>
      <c r="S15" s="22">
        <v>1.7087073330638917E-2</v>
      </c>
      <c r="W15" s="1"/>
    </row>
    <row r="16" spans="1:23">
      <c r="A16" s="9" t="str">
        <v>AUD</v>
      </c>
      <c r="B16" s="9" t="str">
        <v>AUDSwap1m</v>
      </c>
      <c r="D16" s="12"/>
      <c r="E16" s="12"/>
      <c r="F16" s="12"/>
      <c r="G16" s="14"/>
      <c r="H16" s="12"/>
      <c r="I16" s="12"/>
      <c r="J16" s="12"/>
      <c r="O16" s="23" t="str">
        <v>30/06/2024</v>
      </c>
      <c r="P16" s="24">
        <v>7.1691605446119249E-3</v>
      </c>
      <c r="Q16" s="24">
        <v>1.1406670171254811E-2</v>
      </c>
      <c r="R16" s="24">
        <v>1.1406674153917837E-2</v>
      </c>
      <c r="S16" s="25">
        <v>1.7087073330638917E-2</v>
      </c>
      <c r="W16" s="1"/>
    </row>
    <row r="17" spans="1:23">
      <c r="A17" s="10" t="str">
        <v>AUD</v>
      </c>
      <c r="B17" s="10" t="str">
        <v>AUCPI</v>
      </c>
      <c r="D17" s="11"/>
      <c r="E17" s="11"/>
      <c r="F17" s="11"/>
      <c r="G17" s="13"/>
      <c r="H17" s="11"/>
      <c r="I17" s="11"/>
      <c r="J17" s="11"/>
      <c r="O17" s="20" t="str">
        <v>30/09/2024</v>
      </c>
      <c r="P17" s="21">
        <v>8.5369253596342468E-3</v>
      </c>
      <c r="Q17" s="21">
        <v>1.2278371648441639E-2</v>
      </c>
      <c r="R17" s="21">
        <v>1.2278375205133293E-2</v>
      </c>
      <c r="S17" s="22">
        <v>1.7086673953547186E-2</v>
      </c>
      <c r="W17" s="1"/>
    </row>
    <row r="18" spans="1:23">
      <c r="A18" s="9" t="str">
        <v>AUD</v>
      </c>
      <c r="B18" s="9" t="str">
        <v>AUD.Bond.Gov.BEI</v>
      </c>
      <c r="D18" s="12"/>
      <c r="E18" s="12"/>
      <c r="F18" s="12"/>
      <c r="G18" s="14"/>
      <c r="H18" s="12"/>
      <c r="I18" s="12"/>
      <c r="J18" s="12"/>
      <c r="K18" s="3"/>
      <c r="O18" s="23" t="str">
        <v>30/12/2024</v>
      </c>
      <c r="P18" s="24">
        <v>9.7901786588857984E-3</v>
      </c>
      <c r="Q18" s="24">
        <v>1.3005364379380232E-2</v>
      </c>
      <c r="R18" s="24">
        <v>1.3005367584496478E-2</v>
      </c>
      <c r="S18" s="25">
        <v>1.9718397291471686E-2</v>
      </c>
      <c r="W18" s="1"/>
    </row>
    <row r="19" spans="1:23">
      <c r="A19" s="10"/>
      <c r="B19" s="10"/>
      <c r="D19" s="11"/>
      <c r="E19" s="11"/>
      <c r="F19" s="11"/>
      <c r="G19" s="13"/>
      <c r="H19" s="11"/>
      <c r="I19" s="11"/>
      <c r="J19" s="11"/>
      <c r="K19" s="3"/>
      <c r="O19" s="20" t="str">
        <v>30/03/2025</v>
      </c>
      <c r="P19" s="21">
        <v>1.0990476480286093E-2</v>
      </c>
      <c r="Q19" s="21">
        <v>1.386304941430762E-2</v>
      </c>
      <c r="R19" s="21">
        <v>1.3656137435038676E-2</v>
      </c>
      <c r="S19" s="22">
        <v>1.9925867261277729E-2</v>
      </c>
      <c r="W19" s="1"/>
    </row>
    <row r="20" spans="1:23">
      <c r="A20" s="9"/>
      <c r="B20" s="9"/>
      <c r="D20" s="12"/>
      <c r="E20" s="12"/>
      <c r="F20" s="12"/>
      <c r="G20" s="14"/>
      <c r="H20" s="12"/>
      <c r="I20" s="12"/>
      <c r="J20" s="12"/>
      <c r="K20" s="3"/>
      <c r="O20" s="23" t="str">
        <v>30/06/2025</v>
      </c>
      <c r="P20" s="24">
        <v>1.1723829560898191E-2</v>
      </c>
      <c r="Q20" s="24">
        <v>1.4643036514085894E-2</v>
      </c>
      <c r="R20" s="24">
        <v>1.4237111930673381E-2</v>
      </c>
      <c r="S20" s="25">
        <v>1.9925867261277729E-2</v>
      </c>
      <c r="W20" s="1"/>
    </row>
    <row r="21" spans="1:23">
      <c r="A21" s="10"/>
      <c r="B21" s="10"/>
      <c r="D21" s="11"/>
      <c r="E21" s="11"/>
      <c r="F21" s="11"/>
      <c r="G21" s="13"/>
      <c r="H21" s="11"/>
      <c r="I21" s="11"/>
      <c r="J21" s="11"/>
      <c r="K21" s="3"/>
      <c r="O21" s="20" t="str">
        <v>30/09/2025</v>
      </c>
      <c r="P21" s="21">
        <v>1.2271126871172914E-2</v>
      </c>
      <c r="Q21" s="21">
        <v>1.5328070416958006E-2</v>
      </c>
      <c r="R21" s="21">
        <v>1.4747652677196922E-2</v>
      </c>
      <c r="S21" s="22">
        <v>1.9925324288738819E-2</v>
      </c>
      <c r="W21" s="1"/>
    </row>
    <row r="22" spans="1:23">
      <c r="A22" s="9"/>
      <c r="B22" s="9"/>
      <c r="D22" s="12"/>
      <c r="E22" s="12"/>
      <c r="F22" s="12"/>
      <c r="G22" s="14"/>
      <c r="H22" s="12"/>
      <c r="I22" s="12"/>
      <c r="J22" s="12"/>
      <c r="K22" s="3"/>
      <c r="O22" s="23" t="str">
        <v>30/12/2025</v>
      </c>
      <c r="P22" s="24">
        <v>1.2739496331794498E-2</v>
      </c>
      <c r="Q22" s="24">
        <v>1.5929896195309379E-2</v>
      </c>
      <c r="R22" s="24">
        <v>1.5196442512811437E-2</v>
      </c>
      <c r="S22" s="25">
        <v>2.006976652431763E-2</v>
      </c>
      <c r="W22" s="1"/>
    </row>
    <row r="23" spans="1:23">
      <c r="A23" s="10"/>
      <c r="B23" s="10"/>
      <c r="D23" s="11"/>
      <c r="E23" s="11"/>
      <c r="F23" s="11"/>
      <c r="G23" s="13"/>
      <c r="H23" s="11"/>
      <c r="I23" s="11"/>
      <c r="J23" s="11"/>
      <c r="O23" s="20" t="str">
        <v>30/03/2026</v>
      </c>
      <c r="P23" s="21">
        <v>1.3140506457363017E-2</v>
      </c>
      <c r="Q23" s="21">
        <v>1.6350753502354903E-2</v>
      </c>
      <c r="R23" s="21">
        <v>1.5605976121519502E-2</v>
      </c>
      <c r="S23" s="22">
        <v>2.0080382610685694E-2</v>
      </c>
      <c r="W23" s="1"/>
    </row>
    <row r="24" spans="1:23">
      <c r="A24" s="9"/>
      <c r="B24" s="9"/>
      <c r="D24" s="12"/>
      <c r="E24" s="12"/>
      <c r="F24" s="12"/>
      <c r="G24" s="14"/>
      <c r="H24" s="12"/>
      <c r="I24" s="12"/>
      <c r="J24" s="12"/>
      <c r="O24" s="23" t="str">
        <v>30/06/2026</v>
      </c>
      <c r="P24" s="24">
        <v>1.3458430704207372E-2</v>
      </c>
      <c r="Q24" s="24">
        <v>1.6733119514067446E-2</v>
      </c>
      <c r="R24" s="24">
        <v>1.5985424077549021E-2</v>
      </c>
      <c r="S24" s="25">
        <v>2.0080382610685694E-2</v>
      </c>
      <c r="W24" s="1"/>
    </row>
    <row r="25" spans="1:23">
      <c r="A25" s="10"/>
      <c r="B25" s="10"/>
      <c r="D25" s="11"/>
      <c r="E25" s="11"/>
      <c r="F25" s="11"/>
      <c r="G25" s="13"/>
      <c r="H25" s="11"/>
      <c r="I25" s="11"/>
      <c r="J25" s="11"/>
      <c r="O25" s="20" t="str">
        <v>30/09/2026</v>
      </c>
      <c r="P25" s="21">
        <v>1.3740381946358061E-2</v>
      </c>
      <c r="Q25" s="21">
        <v>1.7081627725696644E-2</v>
      </c>
      <c r="R25" s="21">
        <v>1.6330888529684312E-2</v>
      </c>
      <c r="S25" s="22">
        <v>2.007983119173682E-2</v>
      </c>
      <c r="W25" s="1"/>
    </row>
    <row r="26" spans="1:23">
      <c r="A26" s="9"/>
      <c r="B26" s="9"/>
      <c r="G26" s="2"/>
      <c r="O26" s="23" t="str">
        <v>30/12/2026</v>
      </c>
      <c r="P26" s="24">
        <v>1.406457427966239E-2</v>
      </c>
      <c r="Q26" s="24">
        <v>1.7398093177673334E-2</v>
      </c>
      <c r="R26" s="24">
        <v>1.6644235057123025E-2</v>
      </c>
      <c r="S26" s="25">
        <v>2.0976682412274041E-2</v>
      </c>
      <c r="W26" s="1"/>
    </row>
    <row r="27" spans="1:23">
      <c r="A27" s="10"/>
      <c r="B27" s="10"/>
      <c r="G27" s="2"/>
      <c r="O27" s="20" t="str">
        <v>30/03/2027</v>
      </c>
      <c r="P27" s="21">
        <v>1.4359381067472522E-2</v>
      </c>
      <c r="Q27" s="21">
        <v>1.7729532542313693E-2</v>
      </c>
      <c r="R27" s="21">
        <v>1.6979922114756331E-2</v>
      </c>
      <c r="S27" s="22">
        <v>2.1025589216167206E-2</v>
      </c>
      <c r="W27" s="1"/>
    </row>
    <row r="28" spans="1:23">
      <c r="A28" s="9"/>
      <c r="B28" s="9"/>
      <c r="G28" s="2"/>
      <c r="O28" s="23" t="str">
        <v>30/06/2027</v>
      </c>
      <c r="P28" s="24">
        <v>1.4642529398956433E-2</v>
      </c>
      <c r="Q28" s="24">
        <v>1.8046095056894657E-2</v>
      </c>
      <c r="R28" s="24">
        <v>1.7300504021427146E-2</v>
      </c>
      <c r="S28" s="25">
        <v>2.1025589216167206E-2</v>
      </c>
      <c r="W28" s="1"/>
    </row>
    <row r="29" spans="1:23">
      <c r="G29" s="2"/>
      <c r="O29" s="20" t="str">
        <v>30/09/2027</v>
      </c>
      <c r="P29" s="21">
        <v>1.490657414765721E-2</v>
      </c>
      <c r="Q29" s="21">
        <v>1.8341041711255918E-2</v>
      </c>
      <c r="R29" s="21">
        <v>1.7598813489176506E-2</v>
      </c>
      <c r="S29" s="22">
        <v>2.1024984711963287E-2</v>
      </c>
      <c r="W29" s="1"/>
    </row>
    <row r="30" spans="1:23">
      <c r="G30" s="2"/>
      <c r="O30" s="23" t="str">
        <v>30/12/2027</v>
      </c>
      <c r="P30" s="24">
        <v>1.5190003498187332E-2</v>
      </c>
      <c r="Q30" s="24">
        <v>1.861422068322997E-2</v>
      </c>
      <c r="R30" s="24">
        <v>1.7874751567156233E-2</v>
      </c>
      <c r="S30" s="25">
        <v>2.181440749856732E-2</v>
      </c>
      <c r="W30" s="1"/>
    </row>
    <row r="31" spans="1:23">
      <c r="G31" s="2"/>
      <c r="O31" s="20" t="str">
        <v>30/03/2028</v>
      </c>
      <c r="P31" s="21">
        <v>1.5505522036186858E-2</v>
      </c>
      <c r="Q31" s="21">
        <v>1.8911316160149995E-2</v>
      </c>
      <c r="R31" s="21">
        <v>1.8172241067418139E-2</v>
      </c>
      <c r="S31" s="22">
        <v>2.1856533428360806E-2</v>
      </c>
      <c r="W31" s="1"/>
    </row>
    <row r="32" spans="1:23">
      <c r="G32" s="2"/>
      <c r="O32" s="23" t="str">
        <v>30/06/2028</v>
      </c>
      <c r="P32" s="24">
        <v>1.5804273050749197E-2</v>
      </c>
      <c r="Q32" s="24">
        <v>1.919651210807399E-2</v>
      </c>
      <c r="R32" s="24">
        <v>1.8457403165175103E-2</v>
      </c>
      <c r="S32" s="25">
        <v>2.1856533428360806E-2</v>
      </c>
      <c r="W32" s="1"/>
    </row>
    <row r="33" spans="7:23">
      <c r="G33" s="2"/>
      <c r="O33" s="20" t="str">
        <v>30/09/2028</v>
      </c>
      <c r="P33" s="21">
        <v>1.6084865304339287E-2</v>
      </c>
      <c r="Q33" s="21">
        <v>1.9466224444912195E-2</v>
      </c>
      <c r="R33" s="21">
        <v>1.8726784482413515E-2</v>
      </c>
      <c r="S33" s="22">
        <v>2.1855880245171089E-2</v>
      </c>
      <c r="W33" s="1"/>
    </row>
    <row r="34" spans="7:23">
      <c r="G34" s="2"/>
      <c r="O34" s="23" t="str">
        <v>30/12/2028</v>
      </c>
      <c r="P34" s="24">
        <v>1.6331092191013315E-2</v>
      </c>
      <c r="Q34" s="24">
        <v>1.9719444359248137E-2</v>
      </c>
      <c r="R34" s="24">
        <v>1.8979413665215786E-2</v>
      </c>
      <c r="S34" s="25">
        <v>2.2036203279478653E-2</v>
      </c>
      <c r="W34" s="1"/>
    </row>
    <row r="35" spans="7:23">
      <c r="O35" s="20" t="str">
        <v>30/03/2029</v>
      </c>
      <c r="P35" s="21">
        <v>1.6542105149031042E-2</v>
      </c>
      <c r="Q35" s="21">
        <v>1.9959024424568737E-2</v>
      </c>
      <c r="R35" s="21">
        <v>1.9215271689386831E-2</v>
      </c>
      <c r="S35" s="22">
        <v>2.2047150653115105E-2</v>
      </c>
      <c r="W35" s="1"/>
    </row>
    <row r="36" spans="7:23">
      <c r="O36" s="23" t="str">
        <v>30/06/2029</v>
      </c>
      <c r="P36" s="24">
        <v>1.6778345979096096E-2</v>
      </c>
      <c r="Q36" s="24">
        <v>2.0192975041038612E-2</v>
      </c>
      <c r="R36" s="24">
        <v>1.9445210304943974E-2</v>
      </c>
      <c r="S36" s="25">
        <v>2.2047150653115105E-2</v>
      </c>
      <c r="W36" s="1"/>
    </row>
    <row r="37" spans="7:23">
      <c r="O37" s="20" t="str">
        <v>30/09/2029</v>
      </c>
      <c r="P37" s="21">
        <v>1.7012553194416306E-2</v>
      </c>
      <c r="Q37" s="21">
        <v>2.0416902858955168E-2</v>
      </c>
      <c r="R37" s="21">
        <v>1.9665082628903225E-2</v>
      </c>
      <c r="S37" s="22">
        <v>2.2046486037760903E-2</v>
      </c>
      <c r="W37" s="1"/>
    </row>
    <row r="38" spans="7:23">
      <c r="O38" s="23" t="str">
        <v>30/12/2029</v>
      </c>
      <c r="P38" s="24">
        <v>1.722246297923765E-2</v>
      </c>
      <c r="Q38" s="24">
        <v>2.0629494185410126E-2</v>
      </c>
      <c r="R38" s="24">
        <v>1.9873621315722897E-2</v>
      </c>
      <c r="S38" s="25">
        <v>2.2087330944085513E-2</v>
      </c>
      <c r="W38" s="1"/>
    </row>
    <row r="39" spans="7:23">
      <c r="O39" s="20" t="str">
        <v>30/03/2030</v>
      </c>
      <c r="P39" s="21">
        <v>1.7407136711542096E-2</v>
      </c>
      <c r="Q39" s="21">
        <v>2.0829200360565955E-2</v>
      </c>
      <c r="R39" s="21">
        <v>2.0073336181465392E-2</v>
      </c>
      <c r="S39" s="22">
        <v>2.2090871446050001E-2</v>
      </c>
      <c r="W39" s="1"/>
    </row>
    <row r="40" spans="7:23">
      <c r="O40" s="23" t="str">
        <v>30/06/2030</v>
      </c>
      <c r="P40" s="24">
        <v>1.7564702642968548E-2</v>
      </c>
      <c r="Q40" s="24">
        <v>2.1025962265130482E-2</v>
      </c>
      <c r="R40" s="24">
        <v>2.0270086618724006E-2</v>
      </c>
      <c r="S40" s="25">
        <v>2.2090871446050882E-2</v>
      </c>
      <c r="W40" s="1"/>
    </row>
    <row r="41" spans="7:23">
      <c r="O41" s="20" t="str">
        <v>30/09/2030</v>
      </c>
      <c r="P41" s="21">
        <v>1.7686956469803315E-2</v>
      </c>
      <c r="Q41" s="21">
        <v>2.1216064924569476E-2</v>
      </c>
      <c r="R41" s="21">
        <v>2.0459948353812662E-2</v>
      </c>
      <c r="S41" s="22">
        <v>2.2090204194608238E-2</v>
      </c>
      <c r="W41" s="1"/>
    </row>
    <row r="42" spans="7:23">
      <c r="O42" s="23" t="str">
        <v>30/12/2030</v>
      </c>
      <c r="P42" s="24">
        <v>1.7807248710767689E-2</v>
      </c>
      <c r="Q42" s="24">
        <v>2.1398124740849803E-2</v>
      </c>
      <c r="R42" s="24">
        <v>2.0641561171814954E-2</v>
      </c>
      <c r="S42" s="25">
        <v>2.2608361817916811E-2</v>
      </c>
      <c r="W42" s="1"/>
    </row>
    <row r="43" spans="7:23">
      <c r="O43" s="20" t="str">
        <v>30/03/2031</v>
      </c>
      <c r="P43" s="21">
        <v>1.7949540584331364E-2</v>
      </c>
      <c r="Q43" s="21">
        <v>2.1592689614149816E-2</v>
      </c>
      <c r="R43" s="21">
        <v>2.0840235044667827E-2</v>
      </c>
      <c r="S43" s="22">
        <v>2.2650434227953015E-2</v>
      </c>
      <c r="W43" s="1"/>
    </row>
    <row r="44" spans="7:23">
      <c r="O44" s="23" t="str">
        <v>30/06/2031</v>
      </c>
      <c r="P44" s="24">
        <v>1.8084325149201792E-2</v>
      </c>
      <c r="Q44" s="24">
        <v>2.1787265557788951E-2</v>
      </c>
      <c r="R44" s="24">
        <v>2.1038998155950599E-2</v>
      </c>
      <c r="S44" s="25">
        <v>2.2650434227953015E-2</v>
      </c>
      <c r="W44" s="1"/>
    </row>
    <row r="45" spans="7:23">
      <c r="O45" s="20" t="str">
        <v>30/09/2031</v>
      </c>
      <c r="P45" s="21">
        <v>1.8162835682765308E-2</v>
      </c>
      <c r="Q45" s="21">
        <v>2.1976328065726535E-2</v>
      </c>
      <c r="R45" s="21">
        <v>2.1231871987466844E-2</v>
      </c>
      <c r="S45" s="22">
        <v>2.2649732778588706E-2</v>
      </c>
      <c r="W45" s="1"/>
    </row>
    <row r="46" spans="7:23">
      <c r="O46" s="23" t="str">
        <v>30/12/2031</v>
      </c>
      <c r="P46" s="24">
        <v>1.827272726704025E-2</v>
      </c>
      <c r="Q46" s="24">
        <v>2.2158346603549366E-2</v>
      </c>
      <c r="R46" s="24">
        <v>2.1417317228498205E-2</v>
      </c>
      <c r="S46" s="25">
        <v>2.2841274652124523E-2</v>
      </c>
      <c r="W46" s="1"/>
    </row>
    <row r="47" spans="7:23">
      <c r="O47" s="20" t="str">
        <v>30/03/2032</v>
      </c>
      <c r="P47" s="21">
        <v>1.8423128627998199E-2</v>
      </c>
      <c r="Q47" s="21">
        <v>2.2339066069777303E-2</v>
      </c>
      <c r="R47" s="21">
        <v>2.1591838697343043E-2</v>
      </c>
      <c r="S47" s="22">
        <v>2.2854409897793752E-2</v>
      </c>
      <c r="W47" s="1"/>
    </row>
    <row r="48" spans="7:23">
      <c r="O48" s="23" t="str">
        <v>30/06/2032</v>
      </c>
      <c r="P48" s="24">
        <v>1.8608326230689313E-2</v>
      </c>
      <c r="Q48" s="24">
        <v>2.2517572846180407E-2</v>
      </c>
      <c r="R48" s="24">
        <v>2.1763518614195284E-2</v>
      </c>
      <c r="S48" s="25">
        <v>2.2854409897793752E-2</v>
      </c>
      <c r="W48" s="1"/>
    </row>
    <row r="49" spans="15:23">
      <c r="O49" s="20" t="str">
        <v>30/09/2032</v>
      </c>
      <c r="P49" s="21">
        <v>1.8835078217872787E-2</v>
      </c>
      <c r="Q49" s="21">
        <v>2.2691975094964865E-2</v>
      </c>
      <c r="R49" s="21">
        <v>2.1931148681009528E-2</v>
      </c>
      <c r="S49" s="22">
        <v>2.2853695770237607E-2</v>
      </c>
      <c r="W49" s="1"/>
    </row>
    <row r="50" spans="15:23">
      <c r="O50" s="23" t="str">
        <v>30/12/2032</v>
      </c>
      <c r="P50" s="24">
        <v>1.9052948160084463E-2</v>
      </c>
      <c r="Q50" s="24">
        <v>2.2860745177724365E-2</v>
      </c>
      <c r="R50" s="24">
        <v>2.2093268078987944E-2</v>
      </c>
      <c r="S50" s="25">
        <v>2.2852981672419944E-2</v>
      </c>
      <c r="W50" s="1"/>
    </row>
    <row r="51" spans="15:23">
      <c r="O51" s="20" t="str">
        <v>30/03/2033</v>
      </c>
      <c r="P51" s="21">
        <v>1.9262585184600976E-2</v>
      </c>
      <c r="Q51" s="21">
        <v>2.3024272383624519E-2</v>
      </c>
      <c r="R51" s="21">
        <v>2.2250259288017604E-2</v>
      </c>
      <c r="S51" s="22">
        <v>2.2854409897793752E-2</v>
      </c>
      <c r="W51" s="1"/>
    </row>
    <row r="52" spans="15:23">
      <c r="O52" s="23" t="str">
        <v>30/06/2033</v>
      </c>
      <c r="P52" s="24">
        <v>1.9564672266758967E-2</v>
      </c>
      <c r="Q52" s="24">
        <v>2.3188201361681735E-2</v>
      </c>
      <c r="R52" s="24">
        <v>2.2407544853922694E-2</v>
      </c>
      <c r="S52" s="25">
        <v>2.285440989779287E-2</v>
      </c>
      <c r="W52" s="1"/>
    </row>
    <row r="53" spans="15:23">
      <c r="O53" s="20" t="str">
        <v>30/09/2033</v>
      </c>
      <c r="P53" s="21">
        <v>1.9886873580374002E-2</v>
      </c>
      <c r="Q53" s="21">
        <v>2.3349095383342944E-2</v>
      </c>
      <c r="R53" s="21">
        <v>2.2561829111010404E-2</v>
      </c>
      <c r="S53" s="22">
        <v>2.2853695770238498E-2</v>
      </c>
      <c r="W53" s="1"/>
    </row>
    <row r="54" spans="15:23">
      <c r="O54" s="23" t="str">
        <v>30/12/2033</v>
      </c>
      <c r="P54" s="24">
        <v>2.0197348250598934E-2</v>
      </c>
      <c r="Q54" s="24">
        <v>2.350546568791911E-2</v>
      </c>
      <c r="R54" s="24">
        <v>2.2711690419993266E-2</v>
      </c>
      <c r="S54" s="25">
        <v>2.2535883333745246E-2</v>
      </c>
      <c r="W54" s="1"/>
    </row>
    <row r="55" spans="15:23">
      <c r="O55" s="20" t="str">
        <v>30/03/2034</v>
      </c>
      <c r="P55" s="21">
        <v>2.0496891372966869E-2</v>
      </c>
      <c r="Q55" s="21">
        <v>2.3656471701680507E-2</v>
      </c>
      <c r="R55" s="21">
        <v>2.2852775606180844E-2</v>
      </c>
      <c r="S55" s="22">
        <v>2.2520418719798596E-2</v>
      </c>
      <c r="W55" s="1"/>
    </row>
    <row r="56" spans="15:23">
      <c r="O56" s="23" t="str">
        <v>30/06/2034</v>
      </c>
      <c r="P56" s="24">
        <v>2.0795858833382159E-2</v>
      </c>
      <c r="Q56" s="24">
        <v>2.3808386907639527E-2</v>
      </c>
      <c r="R56" s="24">
        <v>2.2994485738129015E-2</v>
      </c>
      <c r="S56" s="25">
        <v>2.2520418719797715E-2</v>
      </c>
      <c r="W56" s="1"/>
    </row>
    <row r="57" spans="15:23">
      <c r="O57" s="20" t="str">
        <v>30/09/2034</v>
      </c>
      <c r="P57" s="21">
        <v>2.1087979783667901E-2</v>
      </c>
      <c r="Q57" s="21">
        <v>2.3958055600443246E-2</v>
      </c>
      <c r="R57" s="21">
        <v>2.313407024720197E-2</v>
      </c>
      <c r="S57" s="22">
        <v>2.2519725292457098E-2</v>
      </c>
      <c r="W57" s="1"/>
    </row>
    <row r="58" spans="15:23">
      <c r="O58" s="23" t="str">
        <v>30/12/2034</v>
      </c>
      <c r="P58" s="24">
        <v>2.1370614399301227E-2</v>
      </c>
      <c r="Q58" s="24">
        <v>2.4104037487671006E-2</v>
      </c>
      <c r="R58" s="24">
        <v>2.3270187238255653E-2</v>
      </c>
      <c r="S58" s="25">
        <v>2.2519031893571333E-2</v>
      </c>
      <c r="W58" s="1"/>
    </row>
    <row r="59" spans="15:23">
      <c r="O59" s="20" t="str">
        <v>30/03/2035</v>
      </c>
      <c r="P59" s="21">
        <v>2.1644350663201556E-2</v>
      </c>
      <c r="Q59" s="21">
        <v>2.424653494896092E-2</v>
      </c>
      <c r="R59" s="21">
        <v>2.3403027173138465E-2</v>
      </c>
      <c r="S59" s="22">
        <v>2.2520418719797715E-2</v>
      </c>
      <c r="W59" s="1"/>
    </row>
    <row r="60" spans="15:23">
      <c r="O60" s="23" t="str">
        <v>30/06/2035</v>
      </c>
      <c r="P60" s="24">
        <v>2.1934559698647584E-2</v>
      </c>
      <c r="Q60" s="24">
        <v>2.4390394852302041E-2</v>
      </c>
      <c r="R60" s="24">
        <v>2.3537108722673176E-2</v>
      </c>
      <c r="S60" s="25">
        <v>2.2520418719797715E-2</v>
      </c>
      <c r="W60" s="1"/>
    </row>
    <row r="61" spans="15:23">
      <c r="O61" s="20" t="str">
        <v>30/09/2035</v>
      </c>
      <c r="P61" s="21">
        <v>2.2357795131871611E-2</v>
      </c>
      <c r="Q61" s="21">
        <v>2.4532551764961101E-2</v>
      </c>
      <c r="R61" s="21">
        <v>2.3669574609331386E-2</v>
      </c>
      <c r="S61" s="22">
        <v>2.2519725292457098E-2</v>
      </c>
      <c r="W61" s="1"/>
    </row>
    <row r="62" spans="15:23">
      <c r="O62" s="23" t="str">
        <v>30/12/2035</v>
      </c>
      <c r="P62" s="24">
        <v>2.2768425421211949E-2</v>
      </c>
      <c r="Q62" s="24">
        <v>2.4671599236371196E-2</v>
      </c>
      <c r="R62" s="24">
        <v>2.3799115419148593E-2</v>
      </c>
      <c r="S62" s="25">
        <v>2.2519725292457098E-2</v>
      </c>
      <c r="W62" s="1"/>
    </row>
    <row r="63" spans="15:23">
      <c r="O63" s="20" t="str">
        <v>30/03/2036</v>
      </c>
      <c r="P63" s="21">
        <v>2.3171573240750663E-2</v>
      </c>
      <c r="Q63" s="21">
        <v>2.4809193438944176E-2</v>
      </c>
      <c r="R63" s="21">
        <v>2.3927275198527151E-2</v>
      </c>
      <c r="S63" s="22">
        <v>2.2520418719798596E-2</v>
      </c>
      <c r="W63" s="1"/>
    </row>
    <row r="64" spans="15:23">
      <c r="O64" s="23" t="str">
        <v>30/06/2036</v>
      </c>
      <c r="P64" s="24">
        <v>2.357199835186025E-2</v>
      </c>
      <c r="Q64" s="24">
        <v>2.4946919415838438E-2</v>
      </c>
      <c r="R64" s="24">
        <v>2.4055530478058276E-2</v>
      </c>
      <c r="S64" s="25">
        <v>2.2520418719797715E-2</v>
      </c>
      <c r="W64" s="1"/>
    </row>
    <row r="65" spans="15:23">
      <c r="O65" s="20" t="str">
        <v>30/09/2036</v>
      </c>
      <c r="P65" s="21">
        <v>2.3965658400860231E-2</v>
      </c>
      <c r="Q65" s="21">
        <v>2.5083349017980292E-2</v>
      </c>
      <c r="R65" s="21">
        <v>2.4182551460523848E-2</v>
      </c>
      <c r="S65" s="22">
        <v>2.2519725292457986E-2</v>
      </c>
      <c r="W65" s="1"/>
    </row>
    <row r="66" spans="15:23">
      <c r="O66" s="23" t="str">
        <v>30/12/2036</v>
      </c>
      <c r="P66" s="24">
        <v>2.4348776810751045E-2</v>
      </c>
      <c r="Q66" s="24">
        <v>2.5217104419278911E-2</v>
      </c>
      <c r="R66" s="24">
        <v>2.430705633726183E-2</v>
      </c>
      <c r="S66" s="25">
        <v>2.0707954142956009E-2</v>
      </c>
      <c r="W66" s="1"/>
    </row>
    <row r="67" spans="15:23">
      <c r="O67" s="20" t="str">
        <v>30/03/2037</v>
      </c>
      <c r="P67" s="21">
        <v>2.4721915509376035E-2</v>
      </c>
      <c r="Q67" s="21">
        <v>2.5309207611000788E-2</v>
      </c>
      <c r="R67" s="21">
        <v>2.4389194553063029E-2</v>
      </c>
      <c r="S67" s="22">
        <v>2.0590309321246964E-2</v>
      </c>
      <c r="W67" s="1"/>
    </row>
    <row r="68" spans="15:23">
      <c r="O68" s="23" t="str">
        <v>30/06/2037</v>
      </c>
      <c r="P68" s="24">
        <v>2.5092581256701944E-2</v>
      </c>
      <c r="Q68" s="24">
        <v>2.5400546525702852E-2</v>
      </c>
      <c r="R68" s="24">
        <v>2.4470372527670949E-2</v>
      </c>
      <c r="S68" s="25">
        <v>2.0590309321246083E-2</v>
      </c>
      <c r="W68" s="1"/>
    </row>
    <row r="69" spans="15:23">
      <c r="O69" s="20" t="str">
        <v>30/09/2037</v>
      </c>
      <c r="P69" s="21">
        <v>2.5456426885218583E-2</v>
      </c>
      <c r="Q69" s="21">
        <v>2.5491745836350953E-2</v>
      </c>
      <c r="R69" s="21">
        <v>2.4551490576324348E-2</v>
      </c>
      <c r="S69" s="22">
        <v>2.0589729565961359E-2</v>
      </c>
      <c r="W69" s="1"/>
    </row>
    <row r="70" spans="15:23">
      <c r="O70" s="23" t="str">
        <v>30/12/2037</v>
      </c>
      <c r="P70" s="24">
        <v>2.5811478594518177E-2</v>
      </c>
      <c r="Q70" s="24">
        <v>2.5581838076521733E-2</v>
      </c>
      <c r="R70" s="24">
        <v>2.4631683942498091E-2</v>
      </c>
      <c r="S70" s="25">
        <v>2.058914983243227E-2</v>
      </c>
      <c r="W70" s="1"/>
    </row>
    <row r="71" spans="15:23">
      <c r="O71" s="20" t="str">
        <v>30/03/2038</v>
      </c>
      <c r="P71" s="21">
        <v>2.6158166059068115E-2</v>
      </c>
      <c r="Q71" s="21">
        <v>2.5670846773547924E-2</v>
      </c>
      <c r="R71" s="21">
        <v>2.4710968673016073E-2</v>
      </c>
      <c r="S71" s="22">
        <v>2.0590309321246964E-2</v>
      </c>
      <c r="W71" s="1"/>
    </row>
    <row r="72" spans="15:23">
      <c r="O72" s="23" t="str">
        <v>30/06/2038</v>
      </c>
      <c r="P72" s="24">
        <v>2.6508232897584069E-2</v>
      </c>
      <c r="Q72" s="24">
        <v>2.5761756451452903E-2</v>
      </c>
      <c r="R72" s="24">
        <v>2.4792001336658768E-2</v>
      </c>
      <c r="S72" s="25">
        <v>2.0590309321246083E-2</v>
      </c>
      <c r="W72" s="1"/>
    </row>
    <row r="73" spans="15:23">
      <c r="O73" s="20" t="str">
        <v>30/09/2038</v>
      </c>
      <c r="P73" s="21">
        <v>2.68541780225009E-2</v>
      </c>
      <c r="Q73" s="21">
        <v>2.585260663284443E-2</v>
      </c>
      <c r="R73" s="21">
        <v>2.487303351856765E-2</v>
      </c>
      <c r="S73" s="22">
        <v>2.0589729565961359E-2</v>
      </c>
      <c r="W73" s="1"/>
    </row>
    <row r="74" spans="15:23">
      <c r="O74" s="23" t="str">
        <v>30/12/2038</v>
      </c>
      <c r="P74" s="24">
        <v>2.7192541462046822E-2</v>
      </c>
      <c r="Q74" s="24">
        <v>2.594242790586767E-2</v>
      </c>
      <c r="R74" s="24">
        <v>2.4953197167866214E-2</v>
      </c>
      <c r="S74" s="25">
        <v>2.058914983243227E-2</v>
      </c>
      <c r="W74" s="1"/>
    </row>
    <row r="75" spans="15:23">
      <c r="O75" s="20" t="str">
        <v>30/03/2039</v>
      </c>
      <c r="P75" s="21">
        <v>2.7523662415346855E-2</v>
      </c>
      <c r="Q75" s="21">
        <v>2.6031237370495373E-2</v>
      </c>
      <c r="R75" s="21">
        <v>2.503250358970666E-2</v>
      </c>
      <c r="S75" s="22">
        <v>2.0590309321246083E-2</v>
      </c>
      <c r="W75" s="1"/>
    </row>
    <row r="76" spans="15:23">
      <c r="O76" s="23" t="str">
        <v>30/06/2039</v>
      </c>
      <c r="P76" s="24">
        <v>2.7858137900510487E-2</v>
      </c>
      <c r="Q76" s="24">
        <v>2.6122010263135469E-2</v>
      </c>
      <c r="R76" s="24">
        <v>2.5113608140627547E-2</v>
      </c>
      <c r="S76" s="25">
        <v>2.0590309321246964E-2</v>
      </c>
      <c r="W76" s="1"/>
    </row>
    <row r="77" spans="15:23">
      <c r="O77" s="20" t="str">
        <v>30/09/2039</v>
      </c>
      <c r="P77" s="21">
        <v>2.8184230668198199E-2</v>
      </c>
      <c r="Q77" s="21">
        <v>2.621278769343614E-2</v>
      </c>
      <c r="R77" s="21">
        <v>2.5194759843114676E-2</v>
      </c>
      <c r="S77" s="22">
        <v>2.0589729565961359E-2</v>
      </c>
      <c r="W77" s="1"/>
    </row>
    <row r="78" spans="15:23">
      <c r="O78" s="23" t="str">
        <v>30/12/2039</v>
      </c>
      <c r="P78" s="24">
        <v>2.8503826848903534E-2</v>
      </c>
      <c r="Q78" s="24">
        <v>2.6302596722453154E-2</v>
      </c>
      <c r="R78" s="24">
        <v>2.5275086165209425E-2</v>
      </c>
      <c r="S78" s="25">
        <v>2.0589729565961359E-2</v>
      </c>
      <c r="W78" s="1"/>
    </row>
    <row r="79" spans="15:23">
      <c r="O79" s="20" t="str">
        <v>30/03/2040</v>
      </c>
      <c r="P79" s="21">
        <v>2.8820658333848885E-2</v>
      </c>
      <c r="Q79" s="21">
        <v>2.6392437004742218E-2</v>
      </c>
      <c r="R79" s="21">
        <v>2.5355478607634652E-2</v>
      </c>
      <c r="S79" s="22">
        <v>2.0590309321246964E-2</v>
      </c>
      <c r="W79" s="1"/>
    </row>
    <row r="80" spans="15:23">
      <c r="O80" s="23" t="str">
        <v>30/06/2040</v>
      </c>
      <c r="P80" s="24">
        <v>2.9138326157461359E-2</v>
      </c>
      <c r="Q80" s="24">
        <v>2.6483308931454445E-2</v>
      </c>
      <c r="R80" s="24">
        <v>2.543683111466627E-2</v>
      </c>
      <c r="S80" s="25">
        <v>2.0590309321246964E-2</v>
      </c>
      <c r="W80" s="1"/>
    </row>
    <row r="81" spans="15:23">
      <c r="O81" s="20" t="str">
        <v>30/09/2040</v>
      </c>
      <c r="P81" s="21">
        <v>2.9453492347398816E-2</v>
      </c>
      <c r="Q81" s="21">
        <v>2.6574237619694501E-2</v>
      </c>
      <c r="R81" s="21">
        <v>2.5518269731593626E-2</v>
      </c>
      <c r="S81" s="22">
        <v>2.0589729565961359E-2</v>
      </c>
      <c r="W81" s="1"/>
    </row>
    <row r="82" spans="15:23">
      <c r="O82" s="23" t="str">
        <v>30/12/2040</v>
      </c>
      <c r="P82" s="24">
        <v>2.9762919623303376E-2</v>
      </c>
      <c r="Q82" s="24">
        <v>2.6664245171560796E-2</v>
      </c>
      <c r="R82" s="24">
        <v>2.5598916363210628E-2</v>
      </c>
      <c r="S82" s="25">
        <v>2.058914983243227E-2</v>
      </c>
      <c r="W82" s="1"/>
    </row>
    <row r="83" spans="15:23">
      <c r="O83" s="20" t="str">
        <v>30/03/2041</v>
      </c>
      <c r="P83" s="21">
        <v>3.0066820312441383E-2</v>
      </c>
      <c r="Q83" s="21">
        <v>2.6753339932519625E-2</v>
      </c>
      <c r="R83" s="21">
        <v>2.5678775845282543E-2</v>
      </c>
      <c r="S83" s="22">
        <v>2.0590309321246964E-2</v>
      </c>
      <c r="W83" s="1"/>
    </row>
    <row r="84" spans="15:23">
      <c r="O84" s="23" t="str">
        <v>30/06/2041</v>
      </c>
      <c r="P84" s="24">
        <v>3.0338634615959106E-2</v>
      </c>
      <c r="Q84" s="24">
        <v>2.6844503368417361E-2</v>
      </c>
      <c r="R84" s="24">
        <v>2.5760519579277136E-2</v>
      </c>
      <c r="S84" s="25">
        <v>2.0590309321246083E-2</v>
      </c>
      <c r="W84" s="1"/>
    </row>
    <row r="85" spans="15:23">
      <c r="O85" s="20" t="str">
        <v>30/09/2041</v>
      </c>
      <c r="P85" s="21">
        <v>3.0562125702361598E-2</v>
      </c>
      <c r="Q85" s="21">
        <v>2.693576662804573E-2</v>
      </c>
      <c r="R85" s="21">
        <v>2.5842381650892723E-2</v>
      </c>
      <c r="S85" s="22">
        <v>2.0589729565961359E-2</v>
      </c>
      <c r="W85" s="1"/>
    </row>
    <row r="86" spans="15:23">
      <c r="O86" s="23" t="str">
        <v>30/12/2041</v>
      </c>
      <c r="P86" s="24">
        <v>3.0782142988677038E-2</v>
      </c>
      <c r="Q86" s="24">
        <v>2.7026145604210877E-2</v>
      </c>
      <c r="R86" s="24">
        <v>2.5923477463159279E-2</v>
      </c>
      <c r="S86" s="25">
        <v>1.7336129700580048E-2</v>
      </c>
      <c r="W86" s="1"/>
    </row>
    <row r="87" spans="15:23">
      <c r="O87" s="20" t="str">
        <v>30/03/2042</v>
      </c>
      <c r="P87" s="21">
        <v>3.0998790997857451E-2</v>
      </c>
      <c r="Q87" s="21">
        <v>2.7056816368670057E-2</v>
      </c>
      <c r="R87" s="21">
        <v>2.5943664442035073E-2</v>
      </c>
      <c r="S87" s="22">
        <v>1.7082058109735454E-2</v>
      </c>
      <c r="W87" s="1"/>
    </row>
    <row r="88" spans="15:23">
      <c r="O88" s="23" t="str">
        <v>30/06/2042</v>
      </c>
      <c r="P88" s="24">
        <v>3.1219344344595924E-2</v>
      </c>
      <c r="Q88" s="24">
        <v>2.7084466167399828E-2</v>
      </c>
      <c r="R88" s="24">
        <v>2.596055357839018E-2</v>
      </c>
      <c r="S88" s="25">
        <v>1.7082058109736335E-2</v>
      </c>
      <c r="W88" s="1"/>
    </row>
    <row r="89" spans="15:23">
      <c r="O89" s="20" t="str">
        <v>30/09/2042</v>
      </c>
      <c r="P89" s="21">
        <v>3.143904549309471E-2</v>
      </c>
      <c r="Q89" s="21">
        <v>2.7113142306160968E-2</v>
      </c>
      <c r="R89" s="21">
        <v>2.5978529543392859E-2</v>
      </c>
      <c r="S89" s="22">
        <v>1.7081658966883805E-2</v>
      </c>
      <c r="W89" s="1"/>
    </row>
    <row r="90" spans="15:23">
      <c r="O90" s="23" t="str">
        <v>30/12/2042</v>
      </c>
      <c r="P90" s="24">
        <v>3.1655583344616919E-2</v>
      </c>
      <c r="Q90" s="24">
        <v>2.7142488055224651E-2</v>
      </c>
      <c r="R90" s="24">
        <v>2.5997347495020445E-2</v>
      </c>
      <c r="S90" s="25">
        <v>1.7081259836459955E-2</v>
      </c>
      <c r="W90" s="1"/>
    </row>
    <row r="91" spans="15:23">
      <c r="O91" s="20" t="str">
        <v>30/03/2043</v>
      </c>
      <c r="P91" s="21">
        <v>3.1869041960499438E-2</v>
      </c>
      <c r="Q91" s="21">
        <v>2.7172445032265891E-2</v>
      </c>
      <c r="R91" s="21">
        <v>2.601694402548255E-2</v>
      </c>
      <c r="S91" s="22">
        <v>1.7082058109736335E-2</v>
      </c>
      <c r="W91" s="1"/>
    </row>
    <row r="92" spans="15:23">
      <c r="O92" s="23" t="str">
        <v>30/06/2043</v>
      </c>
      <c r="P92" s="24">
        <v>3.2086582621498411E-2</v>
      </c>
      <c r="Q92" s="24">
        <v>2.7204001801024062E-2</v>
      </c>
      <c r="R92" s="24">
        <v>2.6037960084759119E-2</v>
      </c>
      <c r="S92" s="25">
        <v>1.7082058109736335E-2</v>
      </c>
      <c r="W92" s="1"/>
    </row>
    <row r="93" spans="15:23">
      <c r="O93" s="20" t="str">
        <v>30/09/2043</v>
      </c>
      <c r="P93" s="21">
        <v>3.2303510656737353E-2</v>
      </c>
      <c r="Q93" s="21">
        <v>2.7236478121367976E-2</v>
      </c>
      <c r="R93" s="21">
        <v>2.6059943174915997E-2</v>
      </c>
      <c r="S93" s="22">
        <v>1.7081658966882917E-2</v>
      </c>
      <c r="W93" s="1"/>
    </row>
    <row r="94" spans="15:23">
      <c r="O94" s="23" t="str">
        <v>30/12/2043</v>
      </c>
      <c r="P94" s="24">
        <v>3.2517531242770792E-2</v>
      </c>
      <c r="Q94" s="24">
        <v>2.7269482719199573E-2</v>
      </c>
      <c r="R94" s="24">
        <v>2.608261243550189E-2</v>
      </c>
      <c r="S94" s="25">
        <v>1.7081658966882917E-2</v>
      </c>
      <c r="W94" s="1"/>
    </row>
    <row r="95" spans="15:23">
      <c r="O95" s="20" t="str">
        <v>30/03/2044</v>
      </c>
      <c r="P95" s="21">
        <v>3.2731055819268551E-2</v>
      </c>
      <c r="Q95" s="21">
        <v>2.730334173886086E-2</v>
      </c>
      <c r="R95" s="21">
        <v>2.6106176989332118E-2</v>
      </c>
      <c r="S95" s="22">
        <v>1.7082058109735454E-2</v>
      </c>
      <c r="W95" s="1"/>
    </row>
    <row r="96" spans="15:23">
      <c r="O96" s="23" t="str">
        <v>30/06/2044</v>
      </c>
      <c r="P96" s="24">
        <v>3.2946471918879117E-2</v>
      </c>
      <c r="Q96" s="24">
        <v>2.7338420018813151E-2</v>
      </c>
      <c r="R96" s="24">
        <v>2.6130886570612546E-2</v>
      </c>
      <c r="S96" s="25">
        <v>1.7082058109736335E-2</v>
      </c>
      <c r="W96" s="1"/>
    </row>
    <row r="97" spans="15:23">
      <c r="O97" s="20" t="str">
        <v>30/09/2044</v>
      </c>
      <c r="P97" s="21">
        <v>3.3161478449365407E-2</v>
      </c>
      <c r="Q97" s="21">
        <v>2.7374329527996413E-2</v>
      </c>
      <c r="R97" s="21">
        <v>2.6156463918500197E-2</v>
      </c>
      <c r="S97" s="22">
        <v>1.7081658966882917E-2</v>
      </c>
      <c r="W97" s="1"/>
    </row>
    <row r="98" spans="15:23">
      <c r="O98" s="23" t="str">
        <v>30/12/2044</v>
      </c>
      <c r="P98" s="24">
        <v>3.3373790267496789E-2</v>
      </c>
      <c r="Q98" s="24">
        <v>2.7410647110569491E-2</v>
      </c>
      <c r="R98" s="24">
        <v>2.618259516572791E-2</v>
      </c>
      <c r="S98" s="25">
        <v>1.7081259836459955E-2</v>
      </c>
      <c r="W98" s="1"/>
    </row>
    <row r="99" spans="15:23">
      <c r="O99" s="20" t="str">
        <v>30/03/2045</v>
      </c>
      <c r="P99" s="21">
        <v>3.3583461366688203E-2</v>
      </c>
      <c r="Q99" s="21">
        <v>2.7447328657942079E-2</v>
      </c>
      <c r="R99" s="21">
        <v>2.6209232844812341E-2</v>
      </c>
      <c r="S99" s="22">
        <v>1.7082058109736335E-2</v>
      </c>
      <c r="W99" s="1"/>
    </row>
    <row r="100" spans="15:23">
      <c r="O100" s="23" t="str">
        <v>30/06/2045</v>
      </c>
      <c r="P100" s="24">
        <v>3.3797517461540777E-2</v>
      </c>
      <c r="Q100" s="24">
        <v>2.7485592063253642E-2</v>
      </c>
      <c r="R100" s="24">
        <v>2.6237258333488899E-2</v>
      </c>
      <c r="S100" s="25">
        <v>1.7082058109736335E-2</v>
      </c>
      <c r="W100" s="1"/>
    </row>
    <row r="101" spans="15:23">
      <c r="O101" s="20" t="str">
        <v>30/09/2045</v>
      </c>
      <c r="P101" s="21">
        <v>3.4011337080838679E-2</v>
      </c>
      <c r="Q101" s="21">
        <v>2.7524613521522467E-2</v>
      </c>
      <c r="R101" s="21">
        <v>2.6266069167802594E-2</v>
      </c>
      <c r="S101" s="22">
        <v>1.7081658966882917E-2</v>
      </c>
      <c r="W101" s="1"/>
    </row>
    <row r="102" spans="15:23">
      <c r="O102" s="23" t="str">
        <v>30/12/2045</v>
      </c>
      <c r="P102" s="24">
        <v>3.4222638878131088E-2</v>
      </c>
      <c r="Q102" s="24">
        <v>2.7563940439680308E-2</v>
      </c>
      <c r="R102" s="24">
        <v>2.6295321229715177E-2</v>
      </c>
      <c r="S102" s="25">
        <v>1.7081259836459955E-2</v>
      </c>
      <c r="W102" s="1"/>
    </row>
    <row r="103" spans="15:23">
      <c r="O103" s="20" t="str">
        <v>30/03/2046</v>
      </c>
      <c r="P103" s="21">
        <v>3.4431465686510745E-2</v>
      </c>
      <c r="Q103" s="21">
        <v>2.7603533909398736E-2</v>
      </c>
      <c r="R103" s="21">
        <v>2.6324972867134481E-2</v>
      </c>
      <c r="S103" s="22">
        <v>1.7082058109735454E-2</v>
      </c>
      <c r="W103" s="1"/>
    </row>
    <row r="104" spans="15:23">
      <c r="O104" s="23" t="str">
        <v>30/06/2046</v>
      </c>
      <c r="P104" s="24">
        <v>3.4644812039299297E-2</v>
      </c>
      <c r="Q104" s="24">
        <v>2.7644710680323484E-2</v>
      </c>
      <c r="R104" s="24">
        <v>2.6356007897927834E-2</v>
      </c>
      <c r="S104" s="25">
        <v>1.7082058109736335E-2</v>
      </c>
      <c r="W104" s="1"/>
    </row>
    <row r="105" spans="15:23">
      <c r="O105" s="20" t="str">
        <v>30/09/2046</v>
      </c>
      <c r="P105" s="21">
        <v>3.4858071499758329E-2</v>
      </c>
      <c r="Q105" s="21">
        <v>2.7686584307016374E-2</v>
      </c>
      <c r="R105" s="21">
        <v>2.6387759168935866E-2</v>
      </c>
      <c r="S105" s="22">
        <v>1.7081658966882917E-2</v>
      </c>
      <c r="W105" s="1"/>
    </row>
    <row r="106" spans="15:23">
      <c r="O106" s="23" t="str">
        <v>30/12/2046</v>
      </c>
      <c r="P106" s="24">
        <v>3.5068961314636375E-2</v>
      </c>
      <c r="Q106" s="24">
        <v>2.7728674779992052E-2</v>
      </c>
      <c r="R106" s="24">
        <v>2.6419854603260233E-2</v>
      </c>
      <c r="S106" s="25">
        <v>1.4285334149943683E-2</v>
      </c>
      <c r="W106" s="1"/>
    </row>
    <row r="107" spans="15:23">
      <c r="O107" s="20" t="str">
        <v>30/03/2047</v>
      </c>
      <c r="P107" s="21">
        <v>3.5258909772885504E-2</v>
      </c>
      <c r="Q107" s="21">
        <v>2.7728254818804969E-2</v>
      </c>
      <c r="R107" s="21">
        <v>2.6406920445149758E-2</v>
      </c>
      <c r="S107" s="22">
        <v>1.4137345855059514E-2</v>
      </c>
      <c r="W107" s="1"/>
    </row>
    <row r="108" spans="15:23">
      <c r="O108" s="23" t="str">
        <v>30/06/2047</v>
      </c>
      <c r="P108" s="24">
        <v>3.5291854599949886E-2</v>
      </c>
      <c r="Q108" s="24">
        <v>2.7726643648052302E-2</v>
      </c>
      <c r="R108" s="24">
        <v>2.6392444228794915E-2</v>
      </c>
      <c r="S108" s="25">
        <v>1.4137345855060395E-2</v>
      </c>
      <c r="W108" s="1"/>
    </row>
    <row r="109" spans="15:23">
      <c r="O109" s="20" t="str">
        <v>30/09/2047</v>
      </c>
      <c r="P109" s="21">
        <v>3.532609744185182E-2</v>
      </c>
      <c r="Q109" s="21">
        <v>2.7726165882629772E-2</v>
      </c>
      <c r="R109" s="21">
        <v>2.637917143834272E-2</v>
      </c>
      <c r="S109" s="22">
        <v>1.4137072396158116E-2</v>
      </c>
      <c r="W109" s="1"/>
    </row>
    <row r="110" spans="15:23">
      <c r="O110" s="23" t="str">
        <v>30/12/2047</v>
      </c>
      <c r="P110" s="24">
        <v>3.5361217727036924E-2</v>
      </c>
      <c r="Q110" s="24">
        <v>2.772678038081108E-2</v>
      </c>
      <c r="R110" s="24">
        <v>2.6367195873895265E-2</v>
      </c>
      <c r="S110" s="25">
        <v>1.4137072396158116E-2</v>
      </c>
      <c r="W110" s="1"/>
    </row>
    <row r="111" spans="15:23">
      <c r="O111" s="20" t="str">
        <v>30/03/2048</v>
      </c>
      <c r="P111" s="21">
        <v>3.5397554880065608E-2</v>
      </c>
      <c r="Q111" s="21">
        <v>2.7728449414277757E-2</v>
      </c>
      <c r="R111" s="21">
        <v>2.635633750928823E-2</v>
      </c>
      <c r="S111" s="22">
        <v>1.4137345855060395E-2</v>
      </c>
      <c r="W111" s="1"/>
    </row>
    <row r="112" spans="15:23">
      <c r="O112" s="23" t="str">
        <v>30/06/2048</v>
      </c>
      <c r="P112" s="24">
        <v>3.5435503008127693E-2</v>
      </c>
      <c r="Q112" s="24">
        <v>2.7731182775278727E-2</v>
      </c>
      <c r="R112" s="24">
        <v>2.6346466705890716E-2</v>
      </c>
      <c r="S112" s="25">
        <v>1.4137345855059514E-2</v>
      </c>
      <c r="W112" s="1"/>
    </row>
    <row r="113" spans="15:23">
      <c r="O113" s="20" t="str">
        <v>30/09/2048</v>
      </c>
      <c r="P113" s="21">
        <v>3.5474644864925339E-2</v>
      </c>
      <c r="Q113" s="21">
        <v>2.7734942606616863E-2</v>
      </c>
      <c r="R113" s="21">
        <v>2.6337680874385445E-2</v>
      </c>
      <c r="S113" s="22">
        <v>1.4137072396159007E-2</v>
      </c>
      <c r="W113" s="1"/>
    </row>
    <row r="114" spans="15:23">
      <c r="O114" s="23" t="str">
        <v>30/12/2048</v>
      </c>
      <c r="P114" s="24">
        <v>3.5514512389180589E-2</v>
      </c>
      <c r="Q114" s="24">
        <v>2.7739647481829312E-2</v>
      </c>
      <c r="R114" s="24">
        <v>2.6330031414176461E-2</v>
      </c>
      <c r="S114" s="25">
        <v>1.4136798944306911E-2</v>
      </c>
      <c r="W114" s="1"/>
    </row>
    <row r="115" spans="15:23">
      <c r="O115" s="20" t="str">
        <v>30/03/2049</v>
      </c>
      <c r="P115" s="21">
        <v>3.5555046170159858E-2</v>
      </c>
      <c r="Q115" s="21">
        <v>2.7745242750417193E-2</v>
      </c>
      <c r="R115" s="21">
        <v>2.6323459445372496E-2</v>
      </c>
      <c r="S115" s="22">
        <v>1.4137345855059514E-2</v>
      </c>
      <c r="W115" s="1"/>
    </row>
    <row r="116" spans="15:23">
      <c r="O116" s="23" t="str">
        <v>30/06/2049</v>
      </c>
      <c r="P116" s="24">
        <v>3.5597594426097799E-2</v>
      </c>
      <c r="Q116" s="24">
        <v>2.7751908612997325E-2</v>
      </c>
      <c r="R116" s="24">
        <v>2.6317738045049634E-2</v>
      </c>
      <c r="S116" s="25">
        <v>1.4137345855059514E-2</v>
      </c>
      <c r="W116" s="1"/>
    </row>
    <row r="117" spans="15:23">
      <c r="O117" s="20" t="str">
        <v>30/09/2049</v>
      </c>
      <c r="P117" s="21">
        <v>3.5641247745909127E-2</v>
      </c>
      <c r="Q117" s="21">
        <v>2.7759509532045423E-2</v>
      </c>
      <c r="R117" s="21">
        <v>2.6313000250477572E-2</v>
      </c>
      <c r="S117" s="22">
        <v>1.4137072396158116E-2</v>
      </c>
      <c r="W117" s="1"/>
    </row>
    <row r="118" spans="15:23">
      <c r="O118" s="23" t="str">
        <v>30/12/2049</v>
      </c>
      <c r="P118" s="24">
        <v>3.568549383443928E-2</v>
      </c>
      <c r="Q118" s="24">
        <v>2.7767927153326117E-2</v>
      </c>
      <c r="R118" s="24">
        <v>2.630925878174251E-2</v>
      </c>
      <c r="S118" s="25">
        <v>1.4136798944306911E-2</v>
      </c>
      <c r="W118" s="1"/>
    </row>
    <row r="119" spans="15:23">
      <c r="O119" s="20" t="str">
        <v>30/03/2050</v>
      </c>
      <c r="P119" s="21">
        <v>3.5730279151090602E-2</v>
      </c>
      <c r="Q119" s="21">
        <v>2.7777112761881929E-2</v>
      </c>
      <c r="R119" s="21">
        <v>2.6306461316242789E-2</v>
      </c>
      <c r="S119" s="22">
        <v>1.4137345855059514E-2</v>
      </c>
      <c r="W119" s="1"/>
    </row>
    <row r="120" spans="15:23">
      <c r="O120" s="23" t="str">
        <v>30/06/2050</v>
      </c>
      <c r="P120" s="24">
        <v>3.5777095375436739E-2</v>
      </c>
      <c r="Q120" s="24">
        <v>2.7787367910308329E-2</v>
      </c>
      <c r="R120" s="24">
        <v>2.6304508578166533E-2</v>
      </c>
      <c r="S120" s="25">
        <v>1.4137345855059514E-2</v>
      </c>
      <c r="W120" s="1"/>
    </row>
    <row r="121" spans="15:23">
      <c r="O121" s="20" t="str">
        <v>30/09/2050</v>
      </c>
      <c r="P121" s="21">
        <v>3.5824940735108633E-2</v>
      </c>
      <c r="Q121" s="21">
        <v>2.779847933801409E-2</v>
      </c>
      <c r="R121" s="21">
        <v>2.6303451988461308E-2</v>
      </c>
      <c r="S121" s="22">
        <v>1.4137072396158116E-2</v>
      </c>
      <c r="W121" s="1"/>
    </row>
    <row r="122" spans="15:23">
      <c r="O122" s="23" t="str">
        <v>31/12/2050</v>
      </c>
      <c r="P122" s="24">
        <v>3.5873797846987972E-2</v>
      </c>
      <c r="Q122" s="24">
        <v>2.7810428928870888E-2</v>
      </c>
      <c r="R122" s="24">
        <v>2.6303271418053411E-2</v>
      </c>
      <c r="S122" s="25">
        <v>1.4136798944306911E-2</v>
      </c>
      <c r="W122" s="1"/>
    </row>
  </sheetData>
  <phoneticPr fontId="1" type="noConversion"/>
  <dataValidations count="2">
    <dataValidation type="list" allowBlank="1" showInputMessage="1" showErrorMessage="1" sqref="P3:S3" xr:uid="{F048E900-382F-477D-B317-B4544D02416E}">
      <formula1>"zero,df,fwd,swaprate"</formula1>
    </dataValidation>
    <dataValidation type="list" allowBlank="1" showInputMessage="1" showErrorMessage="1" sqref="T3 P2:S2" xr:uid="{229DE78D-10AA-4872-BA70-E71683A03D0D}">
      <formula1>$B$10:$B$28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30FCA-EA15-48CD-BB55-7065C6674A8F}">
  <dimension ref="A2:E29"/>
  <sheetViews>
    <sheetView workbookViewId="0">
      <selection activeCell="E23" sqref="E23"/>
    </sheetView>
  </sheetViews>
  <sheetFormatPr defaultRowHeight="15"/>
  <cols>
    <col min="1" max="1" width="15.140625" customWidth="1"/>
    <col min="2" max="2" width="15.5703125" customWidth="1"/>
    <col min="4" max="4" width="21" customWidth="1"/>
    <col min="5" max="5" width="15" style="4" customWidth="1"/>
  </cols>
  <sheetData>
    <row r="2" spans="1:5">
      <c r="A2" s="6" t="s">
        <v>48</v>
      </c>
      <c r="B2" s="8" t="str">
        <f>MarketHandle</f>
        <v>baseMarket</v>
      </c>
      <c r="D2" s="6" t="str">
        <f t="array" ref="D2:E22">MarketDv01AtEachPillar(B2,B3,B4,B5,B6)</f>
        <v>Pillar</v>
      </c>
      <c r="E2" s="6" t="str">
        <v>Delta</v>
      </c>
    </row>
    <row r="3" spans="1:5">
      <c r="A3" s="6" t="s">
        <v>53</v>
      </c>
      <c r="B3" s="15" t="s">
        <v>10</v>
      </c>
      <c r="D3" s="30" t="str">
        <v>AUDBILL1M</v>
      </c>
      <c r="E3" s="31">
        <v>-9.7143704906338826</v>
      </c>
    </row>
    <row r="4" spans="1:5">
      <c r="A4" s="6" t="s">
        <v>50</v>
      </c>
      <c r="B4" s="16" t="s">
        <v>49</v>
      </c>
      <c r="D4" s="32" t="str">
        <v>AUDBILL2M</v>
      </c>
      <c r="E4" s="33">
        <v>-17.38459018827416</v>
      </c>
    </row>
    <row r="5" spans="1:5">
      <c r="A5" s="6" t="s">
        <v>51</v>
      </c>
      <c r="B5" s="28">
        <v>1E-4</v>
      </c>
      <c r="D5" s="30" t="str">
        <v>AUDBILL3M</v>
      </c>
      <c r="E5" s="31">
        <v>-25.862433956936002</v>
      </c>
    </row>
    <row r="6" spans="1:5">
      <c r="A6" s="6" t="s">
        <v>52</v>
      </c>
      <c r="B6" s="29">
        <v>1000000</v>
      </c>
      <c r="D6" s="32" t="str">
        <v>AUDBILL6M</v>
      </c>
      <c r="E6" s="33">
        <v>-50.743738420540467</v>
      </c>
    </row>
    <row r="7" spans="1:5">
      <c r="D7" s="30" t="str">
        <v>AUDSwap1Y</v>
      </c>
      <c r="E7" s="31">
        <v>-99.800402853405103</v>
      </c>
    </row>
    <row r="8" spans="1:5">
      <c r="D8" s="32" t="str">
        <v>AUDSwap2Y</v>
      </c>
      <c r="E8" s="33">
        <v>-198.50789784174412</v>
      </c>
    </row>
    <row r="9" spans="1:5">
      <c r="D9" s="30" t="str">
        <v>AUDSwap3Y</v>
      </c>
      <c r="E9" s="31">
        <v>-296.22691266390029</v>
      </c>
    </row>
    <row r="10" spans="1:5">
      <c r="D10" s="32" t="str">
        <v>AUDSwap4Y</v>
      </c>
      <c r="E10" s="33">
        <v>-389.97733366466127</v>
      </c>
    </row>
    <row r="11" spans="1:5">
      <c r="D11" s="30" t="str">
        <v>AUDSwap5Y</v>
      </c>
      <c r="E11" s="31">
        <v>-482.14579925255384</v>
      </c>
    </row>
    <row r="12" spans="1:5">
      <c r="D12" s="32" t="str">
        <v>AUDSwap6Y</v>
      </c>
      <c r="E12" s="33">
        <v>-572.52745567879174</v>
      </c>
    </row>
    <row r="13" spans="1:5">
      <c r="D13" s="30" t="str">
        <v>AUDSwap7Y</v>
      </c>
      <c r="E13" s="31">
        <v>-661.06691337330267</v>
      </c>
    </row>
    <row r="14" spans="1:5">
      <c r="D14" s="32" t="str">
        <v>AUDSwap8Y</v>
      </c>
      <c r="E14" s="33">
        <v>-747.30826828803401</v>
      </c>
    </row>
    <row r="15" spans="1:5">
      <c r="D15" s="30" t="str">
        <v>AUDSwap9Y</v>
      </c>
      <c r="E15" s="31">
        <v>-832.00050263071898</v>
      </c>
    </row>
    <row r="16" spans="1:5">
      <c r="D16" s="32" t="str">
        <v>AUDSwap10Y</v>
      </c>
      <c r="E16" s="33">
        <v>-914.0126884150086</v>
      </c>
    </row>
    <row r="17" spans="4:5">
      <c r="D17" s="30" t="str">
        <v>AUDSwap12Y</v>
      </c>
      <c r="E17" s="31">
        <v>-1072.6291675572284</v>
      </c>
    </row>
    <row r="18" spans="4:5">
      <c r="D18" s="32" t="str">
        <v>AUDSwap15Y</v>
      </c>
      <c r="E18" s="33">
        <v>-1296.9928949949099</v>
      </c>
    </row>
    <row r="19" spans="4:5">
      <c r="D19" s="30" t="str">
        <v>AUDSwap20Y</v>
      </c>
      <c r="E19" s="31">
        <v>-1637.9696508692577</v>
      </c>
    </row>
    <row r="20" spans="4:5">
      <c r="D20" s="32" t="str">
        <v>AUDSwap25Y</v>
      </c>
      <c r="E20" s="33">
        <v>-1945.1733181038871</v>
      </c>
    </row>
    <row r="21" spans="4:5">
      <c r="D21" s="30" t="str">
        <v>AUDSwap30Y</v>
      </c>
      <c r="E21" s="31">
        <v>-2226.9275881508365</v>
      </c>
    </row>
    <row r="22" spans="4:5">
      <c r="D22" s="32" t="str">
        <v>AUDSwap50Y</v>
      </c>
      <c r="E22" s="33">
        <v>-3114.0964854023186</v>
      </c>
    </row>
    <row r="23" spans="4:5">
      <c r="D23" s="30"/>
      <c r="E23" s="31"/>
    </row>
    <row r="24" spans="4:5">
      <c r="D24" s="32"/>
      <c r="E24" s="33"/>
    </row>
    <row r="25" spans="4:5">
      <c r="D25" s="30"/>
      <c r="E25" s="31"/>
    </row>
    <row r="26" spans="4:5">
      <c r="D26" s="32"/>
      <c r="E26" s="33"/>
    </row>
    <row r="27" spans="4:5">
      <c r="D27" s="30"/>
      <c r="E27" s="31"/>
    </row>
    <row r="28" spans="4:5">
      <c r="D28" s="32"/>
      <c r="E28" s="33"/>
    </row>
    <row r="29" spans="4:5">
      <c r="D29" s="30"/>
      <c r="E29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MarketViewer</vt:lpstr>
      <vt:lpstr>DV01</vt:lpstr>
      <vt:lpstr>buildItems</vt:lpstr>
      <vt:lpstr>MarketHandle</vt:lpstr>
      <vt:lpstr>valueDate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Shen</dc:creator>
  <cp:lastModifiedBy>Leon Shen</cp:lastModifiedBy>
  <dcterms:created xsi:type="dcterms:W3CDTF">2022-04-17T17:27:03Z</dcterms:created>
  <dcterms:modified xsi:type="dcterms:W3CDTF">2022-04-27T03:16:08Z</dcterms:modified>
</cp:coreProperties>
</file>