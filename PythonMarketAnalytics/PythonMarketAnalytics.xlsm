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eny\source\repos\zongjieshen\PythonMarketAnalytics\PythonMarketAnalytics\"/>
    </mc:Choice>
  </mc:AlternateContent>
  <xr:revisionPtr revIDLastSave="0" documentId="13_ncr:1_{FCFA0200-E5D1-4CF7-8ED9-A819FBE4DA19}" xr6:coauthVersionLast="47" xr6:coauthVersionMax="47" xr10:uidLastSave="{00000000-0000-0000-0000-000000000000}"/>
  <bookViews>
    <workbookView xWindow="-120" yWindow="-120" windowWidth="29040" windowHeight="15840" xr2:uid="{360BA86D-65F6-4478-A636-331A56AC90E7}"/>
  </bookViews>
  <sheets>
    <sheet name="Sheet1" sheetId="1" r:id="rId1"/>
  </sheets>
  <functionGroups builtInGroupCount="19">
    <functionGroup name="Commands"/>
  </functionGroups>
  <calcPr calcId="191029" calcMode="manual"/>
  <extLst>
    <ext xmlns:x14="http://schemas.microsoft.com/office/spreadsheetml/2009/9/main" uri="{8193D73E-4604-4355-AFF4-8A2333D13BE4}">
      <x14:definedNames>
        <x14:definedName name="CharPoint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Dv01AtEachPillar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arketChartPoint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arketCreat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arketDv01AtEachPillar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arketItems">
          <x14:argumentDescriptions count="1">
            <x14:argumentDescription index="0">Positional argument 1</x14:argumentDescription>
          </x14:argumentDescriptions>
        </x14:definedName>
        <x14:definedName name="RemoveHandle">
          <x14:argumentDescriptions count="1">
            <x14:argumentDescription index="0">Positional argument 1</x14:argumentDescription>
          </x14:argumentDescriptions>
        </x14:definedName>
        <x14:definedName name="ScheduleCreat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X6" i="1" l="1" a="1"/>
  <c r="O12" i="1" a="1"/>
  <c r="J18" i="1" a="1"/>
  <c r="R12" i="1" a="1"/>
  <c r="M7" i="1"/>
  <c r="J9" i="1"/>
  <c r="T6" i="1"/>
  <c r="J26" i="1" a="1"/>
  <c r="W6" i="1" a="1"/>
  <c r="S12" i="1" l="1"/>
  <c r="S20" i="1"/>
  <c r="S28" i="1"/>
  <c r="S15" i="1"/>
  <c r="S23" i="1"/>
  <c r="S31" i="1"/>
  <c r="R16" i="1"/>
  <c r="R24" i="1"/>
  <c r="R32" i="1"/>
  <c r="S16" i="1"/>
  <c r="S24" i="1"/>
  <c r="S32" i="1"/>
  <c r="R17" i="1"/>
  <c r="R25" i="1"/>
  <c r="R13" i="1"/>
  <c r="R21" i="1"/>
  <c r="R29" i="1"/>
  <c r="S13" i="1"/>
  <c r="S21" i="1"/>
  <c r="S29" i="1"/>
  <c r="R14" i="1"/>
  <c r="R22" i="1"/>
  <c r="R30" i="1"/>
  <c r="S14" i="1"/>
  <c r="S22" i="1"/>
  <c r="S30" i="1"/>
  <c r="R15" i="1"/>
  <c r="R23" i="1"/>
  <c r="R31" i="1"/>
  <c r="S17" i="1"/>
  <c r="S25" i="1"/>
  <c r="R18" i="1"/>
  <c r="R26" i="1"/>
  <c r="S18" i="1"/>
  <c r="S26" i="1"/>
  <c r="R19" i="1"/>
  <c r="R27" i="1"/>
  <c r="S19" i="1"/>
  <c r="S27" i="1"/>
  <c r="R12" i="1"/>
  <c r="R20" i="1"/>
  <c r="R28" i="1"/>
  <c r="J18" i="1"/>
  <c r="K18" i="1"/>
  <c r="J19" i="1"/>
  <c r="K19" i="1"/>
  <c r="J20" i="1"/>
  <c r="K20" i="1"/>
  <c r="J21" i="1"/>
  <c r="K21" i="1"/>
  <c r="J22" i="1"/>
  <c r="K22" i="1"/>
  <c r="O18" i="1"/>
  <c r="O19" i="1"/>
  <c r="O20" i="1"/>
  <c r="O21" i="1"/>
  <c r="O22" i="1"/>
  <c r="O12" i="1"/>
  <c r="O13" i="1"/>
  <c r="O14" i="1"/>
  <c r="O15" i="1"/>
  <c r="O16" i="1"/>
  <c r="O17" i="1"/>
  <c r="X6" i="1"/>
  <c r="X22" i="1"/>
  <c r="X12" i="1"/>
  <c r="X28" i="1"/>
  <c r="X13" i="1"/>
  <c r="X29" i="1"/>
  <c r="X14" i="1"/>
  <c r="X30" i="1"/>
  <c r="X15" i="1"/>
  <c r="X31" i="1"/>
  <c r="X7" i="1"/>
  <c r="X23" i="1"/>
  <c r="X8" i="1"/>
  <c r="X24" i="1"/>
  <c r="X9" i="1"/>
  <c r="X25" i="1"/>
  <c r="X10" i="1"/>
  <c r="X26" i="1"/>
  <c r="X11" i="1"/>
  <c r="X27" i="1"/>
  <c r="X16" i="1"/>
  <c r="X32" i="1"/>
  <c r="X17" i="1"/>
  <c r="X33" i="1"/>
  <c r="X18" i="1"/>
  <c r="X34" i="1"/>
  <c r="X19" i="1"/>
  <c r="X35" i="1"/>
  <c r="X21" i="1"/>
  <c r="X20" i="1"/>
  <c r="W6" i="1"/>
  <c r="W22" i="1"/>
  <c r="W9" i="1"/>
  <c r="W10" i="1"/>
  <c r="W26" i="1"/>
  <c r="W12" i="1"/>
  <c r="W28" i="1"/>
  <c r="W13" i="1"/>
  <c r="W30" i="1"/>
  <c r="W31" i="1"/>
  <c r="W16" i="1"/>
  <c r="W33" i="1"/>
  <c r="W18" i="1"/>
  <c r="W19" i="1"/>
  <c r="W21" i="1"/>
  <c r="W7" i="1"/>
  <c r="W23" i="1"/>
  <c r="W8" i="1"/>
  <c r="W24" i="1"/>
  <c r="W25" i="1"/>
  <c r="W11" i="1"/>
  <c r="W27" i="1"/>
  <c r="W29" i="1"/>
  <c r="W14" i="1"/>
  <c r="W15" i="1"/>
  <c r="W32" i="1"/>
  <c r="W17" i="1"/>
  <c r="W34" i="1"/>
  <c r="W35" i="1"/>
  <c r="W20" i="1"/>
  <c r="K26" i="1"/>
  <c r="J27" i="1"/>
  <c r="K27" i="1"/>
  <c r="J28" i="1"/>
  <c r="K28" i="1"/>
  <c r="J29" i="1"/>
  <c r="J30" i="1"/>
  <c r="K30" i="1"/>
  <c r="J26" i="1"/>
  <c r="K29" i="1"/>
</calcChain>
</file>

<file path=xl/sharedStrings.xml><?xml version="1.0" encoding="utf-8"?>
<sst xmlns="http://schemas.openxmlformats.org/spreadsheetml/2006/main" count="2" uniqueCount="2">
  <si>
    <t>31/12/2021</t>
    <phoneticPr fontId="1" type="noConversion"/>
  </si>
  <si>
    <t>31/12/2050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</si>
</sst>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76" formatCode="_(* #,##0_);_(* \(#,##0\);_(* &quot;-&quot;??_);_(@_)"/>
    <numFmt numFmtId="177" formatCode="[$-F800]dddd\,\ mmmm\ dd\,\ yyyy"/>
  </numFmts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>
      <alignment vertical="center"/>
    </xf>
  </cellStyleXfs>
  <cellXfs count="6">
    <xf numFmtId="0" fontId="0" fillId="0" borderId="0" xfId="0"/>
    <xf numFmtId="0" fontId="0" fillId="0" borderId="0" xfId="0" applyNumberFormat="1"/>
    <xf numFmtId="14" fontId="0" fillId="0" borderId="0" xfId="0" applyNumberFormat="1"/>
    <xf numFmtId="0" fontId="3" fillId="0" borderId="0" xfId="0" applyFont="1"/>
    <xf numFmtId="176" fontId="0" fillId="0" borderId="0" xfId="1" applyNumberFormat="1" applyFont="1" applyAlignment="1"/>
    <xf numFmtId="177" fontId="0" fillId="0" borderId="0" xfId="0" applyNumberFormat="1"/>
  </cellXfs>
  <cellStyles count="2">
    <cellStyle name="千位分隔" xfId="1" builtinId="3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AAD0B-B345-4A67-B665-0A56B3B3FBD0}">
  <sheetPr codeName="Sheet1"/>
  <dimension ref="G2:X122"/>
  <sheetViews>
    <sheetView tabSelected="1" topLeftCell="K1" workbookViewId="0">
      <selection activeCell="X6" sqref="X6"/>
    </sheetView>
  </sheetViews>
  <sheetFormatPr defaultRowHeight="14.25" x14ac:dyDescent="0.2"/>
  <cols>
    <col min="7" max="7" width="12.5" customWidth="1"/>
    <col min="10" max="10" width="29.5" customWidth="1"/>
    <col min="11" max="11" width="13" bestFit="1" customWidth="1"/>
    <col min="18" max="18" width="17.75" bestFit="1" customWidth="1"/>
    <col min="19" max="19" width="9.75" style="4" bestFit="1" customWidth="1"/>
    <col min="23" max="23" width="13.25" style="5" customWidth="1"/>
  </cols>
  <sheetData>
    <row r="2" spans="7:24" x14ac:dyDescent="0.2">
      <c r="W2" s="5" t="s">
        <v>0</v>
      </c>
    </row>
    <row r="3" spans="7:24" x14ac:dyDescent="0.2">
      <c r="J3" s="1">
        <v>44561</v>
      </c>
      <c r="W3" s="5" t="s">
        <v>1</v>
      </c>
    </row>
    <row r="6" spans="7:24" x14ac:dyDescent="0.2">
      <c r="T6" t="str">
        <f>GetHandle()</f>
        <v>baseMarket</v>
      </c>
      <c r="W6" s="5" t="str">
        <f t="array" ref="W6:W35">ScheduleCreate(W2,W3,"1y")</f>
        <v>Dates</v>
      </c>
      <c r="X6" t="str">
        <f t="array" ref="X6:X35">MarketChartPoints(J9,K20,"df",W7:W35,"3m")</f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</row>
    <row r="7" spans="7:24" x14ac:dyDescent="0.2">
      <c r="M7" t="str">
        <f>GetHandle()</f>
        <v>No handles in the dictionary</v>
      </c>
      <c r="W7" s="1" t="str">
        <v>12/31/2022</v>
      </c>
      <c r="X7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</row>
    <row r="8" spans="7:24" x14ac:dyDescent="0.2">
      <c r="W8" s="1" t="str">
        <v>12/31/2023</v>
      </c>
      <c r="X8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</row>
    <row r="9" spans="7:24" ht="15" x14ac:dyDescent="0.25">
      <c r="G9" s="1">
        <v>45333</v>
      </c>
      <c r="J9" s="3" t="str">
        <f>MarketCreate("baseMarket",44561)</f>
        <v>baseMarket</v>
      </c>
      <c r="W9" s="1" t="str">
        <v>12/31/2024</v>
      </c>
      <c r="X9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</row>
    <row r="10" spans="7:24" x14ac:dyDescent="0.2">
      <c r="G10" s="1">
        <v>45334</v>
      </c>
      <c r="W10" s="1" t="str">
        <v>12/31/2025</v>
      </c>
      <c r="X10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</row>
    <row r="11" spans="7:24" x14ac:dyDescent="0.2">
      <c r="G11" s="1">
        <v>45335</v>
      </c>
      <c r="W11" s="1" t="str">
        <v>12/31/2026</v>
      </c>
      <c r="X11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</row>
    <row r="12" spans="7:24" x14ac:dyDescent="0.2">
      <c r="G12" s="1">
        <v>45336</v>
      </c>
      <c r="O12" t="str">
        <f t="array" ref="O12:O22">MarketChartPoints(J9,K20,"zero",G13:G22,"+3m")</f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R12" t="str">
        <f t="array" ref="R12:S32">MarketDv01AtEachPillar(J9,K20,"pillar")</f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S12" s="4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W12" s="1" t="str">
        <v>12/31/2027</v>
      </c>
      <c r="X12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</row>
    <row r="13" spans="7:24" x14ac:dyDescent="0.2">
      <c r="G13" s="2">
        <v>45337</v>
      </c>
      <c r="O13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R13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S13" s="4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W13" s="1" t="str">
        <v>12/31/2028</v>
      </c>
      <c r="X13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</row>
    <row r="14" spans="7:24" x14ac:dyDescent="0.2">
      <c r="G14" s="2">
        <v>45338</v>
      </c>
      <c r="O14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R14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S14" s="4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W14" s="1" t="str">
        <v>12/31/2029</v>
      </c>
      <c r="X14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</row>
    <row r="15" spans="7:24" x14ac:dyDescent="0.2">
      <c r="G15" s="2">
        <v>45339</v>
      </c>
      <c r="O15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R15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S15" s="4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W15" s="1" t="str">
        <v>12/31/2030</v>
      </c>
      <c r="X15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</row>
    <row r="16" spans="7:24" x14ac:dyDescent="0.2">
      <c r="G16" s="2">
        <v>45340</v>
      </c>
      <c r="O16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R16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S16" s="4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W16" s="1" t="str">
        <v>12/31/2031</v>
      </c>
      <c r="X16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</row>
    <row r="17" spans="7:24" x14ac:dyDescent="0.2">
      <c r="G17" s="2">
        <v>45341</v>
      </c>
      <c r="O17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R17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S17" s="4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W17" s="1" t="str">
        <v>12/31/2032</v>
      </c>
      <c r="X17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</row>
    <row r="18" spans="7:24" ht="15" x14ac:dyDescent="0.25">
      <c r="G18" s="2">
        <v>45342</v>
      </c>
      <c r="J18" s="3" t="str">
        <f t="array" ref="J18:K22">MarketItems(J9)</f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K18" s="3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O18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R18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S18" s="4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W18" s="1" t="str">
        <v>12/31/2033</v>
      </c>
      <c r="X18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</row>
    <row r="19" spans="7:24" ht="15" x14ac:dyDescent="0.25">
      <c r="G19" s="2">
        <v>45343</v>
      </c>
      <c r="J19" s="3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K19" s="3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O19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R19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S19" s="4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W19" s="1" t="str">
        <v>12/31/2034</v>
      </c>
      <c r="X19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</row>
    <row r="20" spans="7:24" ht="15" x14ac:dyDescent="0.25">
      <c r="G20" s="2">
        <v>45344</v>
      </c>
      <c r="J20" s="3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K20" s="3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O20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R20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S20" s="4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W20" s="1" t="str">
        <v>12/31/2035</v>
      </c>
      <c r="X20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</row>
    <row r="21" spans="7:24" ht="15" x14ac:dyDescent="0.25">
      <c r="G21" s="2">
        <v>45345</v>
      </c>
      <c r="J21" s="3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K21" s="3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O21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R21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S21" s="4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W21" s="1" t="str">
        <v>12/31/2036</v>
      </c>
      <c r="X21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</row>
    <row r="22" spans="7:24" ht="15" x14ac:dyDescent="0.25">
      <c r="G22" s="2">
        <v>45346</v>
      </c>
      <c r="J22" s="3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K22" s="3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O22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R22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S22" s="4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W22" s="1" t="str">
        <v>12/31/2037</v>
      </c>
      <c r="X22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</row>
    <row r="23" spans="7:24" x14ac:dyDescent="0.2">
      <c r="G23" s="2">
        <v>45347</v>
      </c>
      <c r="R23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S23" s="4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W23" s="1" t="str">
        <v>12/31/2038</v>
      </c>
      <c r="X23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</row>
    <row r="24" spans="7:24" x14ac:dyDescent="0.2">
      <c r="G24" s="2">
        <v>45348</v>
      </c>
      <c r="R24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S24" s="4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W24" s="1" t="str">
        <v>12/31/2039</v>
      </c>
      <c r="X24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</row>
    <row r="25" spans="7:24" x14ac:dyDescent="0.2">
      <c r="G25" s="2">
        <v>45349</v>
      </c>
      <c r="R25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S25" s="4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W25" s="1" t="str">
        <v>12/31/2040</v>
      </c>
      <c r="X25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</row>
    <row r="26" spans="7:24" x14ac:dyDescent="0.2">
      <c r="G26" s="2">
        <v>45350</v>
      </c>
      <c r="J26" t="str">
        <f t="array" ref="J26:K30">MarketItems(J9)</f>
        <v>Currency</v>
      </c>
      <c r="K26" t="str">
        <v>Items</v>
      </c>
      <c r="R26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S26" s="4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W26" s="1" t="str">
        <v>12/31/2041</v>
      </c>
      <c r="X26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</row>
    <row r="27" spans="7:24" x14ac:dyDescent="0.2">
      <c r="G27" s="2">
        <v>45351</v>
      </c>
      <c r="J27" t="str">
        <v>AUD</v>
      </c>
      <c r="K27" t="str">
        <v>AUDBondGov</v>
      </c>
      <c r="R27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S27" s="4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W27" s="1" t="str">
        <v>12/31/2042</v>
      </c>
      <c r="X27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</row>
    <row r="28" spans="7:24" x14ac:dyDescent="0.2">
      <c r="G28" s="2">
        <v>45352</v>
      </c>
      <c r="J28" t="str">
        <v>AUD</v>
      </c>
      <c r="K28" t="str">
        <v>AUDSwap</v>
      </c>
      <c r="R28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S28" s="4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W28" s="1" t="str">
        <v>12/31/2043</v>
      </c>
      <c r="X28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</row>
    <row r="29" spans="7:24" x14ac:dyDescent="0.2">
      <c r="G29" s="2">
        <v>45353</v>
      </c>
      <c r="J29" t="str">
        <v>GBP</v>
      </c>
      <c r="K29" t="str">
        <v>GBPOIS</v>
      </c>
      <c r="R29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S29" s="4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W29" s="1" t="str">
        <v>12/31/2044</v>
      </c>
      <c r="X29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</row>
    <row r="30" spans="7:24" x14ac:dyDescent="0.2">
      <c r="G30" s="2">
        <v>45354</v>
      </c>
      <c r="J30" t="str">
        <v>JPY</v>
      </c>
      <c r="K30" t="str">
        <v>JPYOIS</v>
      </c>
      <c r="R30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S30" s="4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W30" s="1" t="str">
        <v>12/31/2045</v>
      </c>
      <c r="X30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</row>
    <row r="31" spans="7:24" x14ac:dyDescent="0.2">
      <c r="G31" s="2">
        <v>45355</v>
      </c>
      <c r="R31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S31" s="4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W31" s="1" t="str">
        <v>12/31/2046</v>
      </c>
      <c r="X31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</row>
    <row r="32" spans="7:24" x14ac:dyDescent="0.2">
      <c r="G32" s="2">
        <v>45356</v>
      </c>
      <c r="R32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S32" s="4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  <c r="W32" s="1" t="str">
        <v>12/31/2047</v>
      </c>
      <c r="X32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</row>
    <row r="33" spans="7:24" x14ac:dyDescent="0.2">
      <c r="G33" s="2">
        <v>45357</v>
      </c>
      <c r="W33" s="1" t="str">
        <v>12/31/2048</v>
      </c>
      <c r="X33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</row>
    <row r="34" spans="7:24" x14ac:dyDescent="0.2">
      <c r="G34" s="2">
        <v>45358</v>
      </c>
      <c r="W34" s="1" t="str">
        <v>12/31/2049</v>
      </c>
      <c r="X34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</row>
    <row r="35" spans="7:24" x14ac:dyDescent="0.2">
      <c r="W35" s="1" t="str">
        <v>12/31/2050</v>
      </c>
      <c r="X35" t="str">
        <v>ValueError: Error parsing datetime string "6m" at position 1
    values = np.exp(interpolator(dates.astype('&lt;M8[s]')))
  File "c:\users\sheny\source\repos\zongjieshen\pythonmarketanalytics\pythonmarketanalytics\Market\YieldCurve.py", line 42, in DiscountFactor
    return dt
  File "c:\users\sheny\source\repos\zongjieshen\pythonmarketanalytics\pythonmarketanalytics\Market\YieldCurve.py", line 86, in Charts
    mkt.YieldCurve.Charts(baseMarket.marketItems['AUDSwap'], 'SwapRates','6m', testDate)
  File "c:\users\sheny\source\repos\zongjieshen\pythonmarketanalytics\pythonmarketanalytics\PythonMarketAnalytics.py", line 24, in &lt;module&gt;
  File "&lt;frozen importlib._bootstrap&gt;", line 228, in _call_with_frames_removed
  File "&lt;frozen importlib._bootstrap_external&gt;", line 850, in exec_module
  File "&lt;frozen importlib._bootstrap&gt;", line 613, in _exec
    _bootstrap._exec(spec, module)
  File "C:\Users\sheny\anaconda3\lib\importlib\__init__.py", line 169, in reload
    module = reload(module)
  File "C:\Users\sheny\anaconda3\lib\site-packages\xlwings\udfs.py", line 384, in get_udf_module
    module = get_udf_module(module_name, this_workbook)
  File "C:\Users\sheny\anaconda3\lib\site-packages\xlwings\udfs.py", line 437, in call_udf
    res = call_udf(script, fname, args, this_workbook, FromVariant(caller))
  File "C:\Users\sheny\anaconda3\lib\site-packages\xlwings\server.py", line 198, in CallUDF
    return func(*args)
  File "C:\Users\sheny\anaconda3\lib\site-packages\win32com\server\policy.py", line 586, in _invokeex_
    return S_OK, -1, self._invokeex_(dispid, lcid, wFlags, args, None, None)
  File "C:\Users\sheny\anaconda3\lib\site-packages\win32com\server\policy.py", line 283, in _invoke_
    return self._invoke_(dispid, lcid, wFlags, args)
  File "C:\Users\sheny\anaconda3\lib\site-packages\win32com\server\policy.py", line 278, in _Invoke_</v>
      </c>
    </row>
    <row r="36" spans="7:24" x14ac:dyDescent="0.2">
      <c r="W36" s="1"/>
    </row>
    <row r="37" spans="7:24" x14ac:dyDescent="0.2">
      <c r="W37" s="1"/>
    </row>
    <row r="38" spans="7:24" x14ac:dyDescent="0.2">
      <c r="W38" s="1"/>
    </row>
    <row r="39" spans="7:24" x14ac:dyDescent="0.2">
      <c r="W39" s="1"/>
    </row>
    <row r="40" spans="7:24" x14ac:dyDescent="0.2">
      <c r="W40" s="1"/>
    </row>
    <row r="41" spans="7:24" x14ac:dyDescent="0.2">
      <c r="W41" s="1"/>
    </row>
    <row r="42" spans="7:24" x14ac:dyDescent="0.2">
      <c r="W42" s="1"/>
    </row>
    <row r="43" spans="7:24" x14ac:dyDescent="0.2">
      <c r="W43" s="1"/>
    </row>
    <row r="44" spans="7:24" x14ac:dyDescent="0.2">
      <c r="W44" s="1"/>
    </row>
    <row r="45" spans="7:24" x14ac:dyDescent="0.2">
      <c r="W45" s="1"/>
    </row>
    <row r="46" spans="7:24" x14ac:dyDescent="0.2">
      <c r="W46" s="1"/>
    </row>
    <row r="47" spans="7:24" x14ac:dyDescent="0.2">
      <c r="W47" s="1"/>
    </row>
    <row r="48" spans="7:24" x14ac:dyDescent="0.2">
      <c r="W48" s="1"/>
    </row>
    <row r="49" spans="23:23" x14ac:dyDescent="0.2">
      <c r="W49" s="1"/>
    </row>
    <row r="50" spans="23:23" x14ac:dyDescent="0.2">
      <c r="W50" s="1"/>
    </row>
    <row r="51" spans="23:23" x14ac:dyDescent="0.2">
      <c r="W51" s="1"/>
    </row>
    <row r="52" spans="23:23" x14ac:dyDescent="0.2">
      <c r="W52" s="1"/>
    </row>
    <row r="53" spans="23:23" x14ac:dyDescent="0.2">
      <c r="W53" s="1"/>
    </row>
    <row r="54" spans="23:23" x14ac:dyDescent="0.2">
      <c r="W54" s="1"/>
    </row>
    <row r="55" spans="23:23" x14ac:dyDescent="0.2">
      <c r="W55" s="1"/>
    </row>
    <row r="56" spans="23:23" x14ac:dyDescent="0.2">
      <c r="W56" s="1"/>
    </row>
    <row r="57" spans="23:23" x14ac:dyDescent="0.2">
      <c r="W57" s="1"/>
    </row>
    <row r="58" spans="23:23" x14ac:dyDescent="0.2">
      <c r="W58" s="1"/>
    </row>
    <row r="59" spans="23:23" x14ac:dyDescent="0.2">
      <c r="W59" s="1"/>
    </row>
    <row r="60" spans="23:23" x14ac:dyDescent="0.2">
      <c r="W60" s="1"/>
    </row>
    <row r="61" spans="23:23" x14ac:dyDescent="0.2">
      <c r="W61" s="1"/>
    </row>
    <row r="62" spans="23:23" x14ac:dyDescent="0.2">
      <c r="W62" s="1"/>
    </row>
    <row r="63" spans="23:23" x14ac:dyDescent="0.2">
      <c r="W63" s="1"/>
    </row>
    <row r="64" spans="23:23" x14ac:dyDescent="0.2">
      <c r="W64" s="1"/>
    </row>
    <row r="65" spans="23:23" x14ac:dyDescent="0.2">
      <c r="W65" s="1"/>
    </row>
    <row r="66" spans="23:23" x14ac:dyDescent="0.2">
      <c r="W66" s="1"/>
    </row>
    <row r="67" spans="23:23" x14ac:dyDescent="0.2">
      <c r="W67" s="1"/>
    </row>
    <row r="68" spans="23:23" x14ac:dyDescent="0.2">
      <c r="W68" s="1"/>
    </row>
    <row r="69" spans="23:23" x14ac:dyDescent="0.2">
      <c r="W69" s="1"/>
    </row>
    <row r="70" spans="23:23" x14ac:dyDescent="0.2">
      <c r="W70" s="1"/>
    </row>
    <row r="71" spans="23:23" x14ac:dyDescent="0.2">
      <c r="W71" s="1"/>
    </row>
    <row r="72" spans="23:23" x14ac:dyDescent="0.2">
      <c r="W72" s="1"/>
    </row>
    <row r="73" spans="23:23" x14ac:dyDescent="0.2">
      <c r="W73" s="1"/>
    </row>
    <row r="74" spans="23:23" x14ac:dyDescent="0.2">
      <c r="W74" s="1"/>
    </row>
    <row r="75" spans="23:23" x14ac:dyDescent="0.2">
      <c r="W75" s="1"/>
    </row>
    <row r="76" spans="23:23" x14ac:dyDescent="0.2">
      <c r="W76" s="1"/>
    </row>
    <row r="77" spans="23:23" x14ac:dyDescent="0.2">
      <c r="W77" s="1"/>
    </row>
    <row r="78" spans="23:23" x14ac:dyDescent="0.2">
      <c r="W78" s="1"/>
    </row>
    <row r="79" spans="23:23" x14ac:dyDescent="0.2">
      <c r="W79" s="1"/>
    </row>
    <row r="80" spans="23:23" x14ac:dyDescent="0.2">
      <c r="W80" s="1"/>
    </row>
    <row r="81" spans="23:23" x14ac:dyDescent="0.2">
      <c r="W81" s="1"/>
    </row>
    <row r="82" spans="23:23" x14ac:dyDescent="0.2">
      <c r="W82" s="1"/>
    </row>
    <row r="83" spans="23:23" x14ac:dyDescent="0.2">
      <c r="W83" s="1"/>
    </row>
    <row r="84" spans="23:23" x14ac:dyDescent="0.2">
      <c r="W84" s="1"/>
    </row>
    <row r="85" spans="23:23" x14ac:dyDescent="0.2">
      <c r="W85" s="1"/>
    </row>
    <row r="86" spans="23:23" x14ac:dyDescent="0.2">
      <c r="W86" s="1"/>
    </row>
    <row r="87" spans="23:23" x14ac:dyDescent="0.2">
      <c r="W87" s="1"/>
    </row>
    <row r="88" spans="23:23" x14ac:dyDescent="0.2">
      <c r="W88" s="1"/>
    </row>
    <row r="89" spans="23:23" x14ac:dyDescent="0.2">
      <c r="W89" s="1"/>
    </row>
    <row r="90" spans="23:23" x14ac:dyDescent="0.2">
      <c r="W90" s="1"/>
    </row>
    <row r="91" spans="23:23" x14ac:dyDescent="0.2">
      <c r="W91" s="1"/>
    </row>
    <row r="92" spans="23:23" x14ac:dyDescent="0.2">
      <c r="W92" s="1"/>
    </row>
    <row r="93" spans="23:23" x14ac:dyDescent="0.2">
      <c r="W93" s="1"/>
    </row>
    <row r="94" spans="23:23" x14ac:dyDescent="0.2">
      <c r="W94" s="1"/>
    </row>
    <row r="95" spans="23:23" x14ac:dyDescent="0.2">
      <c r="W95" s="1"/>
    </row>
    <row r="96" spans="23:23" x14ac:dyDescent="0.2">
      <c r="W96" s="1"/>
    </row>
    <row r="97" spans="23:23" x14ac:dyDescent="0.2">
      <c r="W97" s="1"/>
    </row>
    <row r="98" spans="23:23" x14ac:dyDescent="0.2">
      <c r="W98" s="1"/>
    </row>
    <row r="99" spans="23:23" x14ac:dyDescent="0.2">
      <c r="W99" s="1"/>
    </row>
    <row r="100" spans="23:23" x14ac:dyDescent="0.2">
      <c r="W100" s="1"/>
    </row>
    <row r="101" spans="23:23" x14ac:dyDescent="0.2">
      <c r="W101" s="1"/>
    </row>
    <row r="102" spans="23:23" x14ac:dyDescent="0.2">
      <c r="W102" s="1"/>
    </row>
    <row r="103" spans="23:23" x14ac:dyDescent="0.2">
      <c r="W103" s="1"/>
    </row>
    <row r="104" spans="23:23" x14ac:dyDescent="0.2">
      <c r="W104" s="1"/>
    </row>
    <row r="105" spans="23:23" x14ac:dyDescent="0.2">
      <c r="W105" s="1"/>
    </row>
    <row r="106" spans="23:23" x14ac:dyDescent="0.2">
      <c r="W106" s="1"/>
    </row>
    <row r="107" spans="23:23" x14ac:dyDescent="0.2">
      <c r="W107" s="1"/>
    </row>
    <row r="108" spans="23:23" x14ac:dyDescent="0.2">
      <c r="W108" s="1"/>
    </row>
    <row r="109" spans="23:23" x14ac:dyDescent="0.2">
      <c r="W109" s="1"/>
    </row>
    <row r="110" spans="23:23" x14ac:dyDescent="0.2">
      <c r="W110" s="1"/>
    </row>
    <row r="111" spans="23:23" x14ac:dyDescent="0.2">
      <c r="W111" s="1"/>
    </row>
    <row r="112" spans="23:23" x14ac:dyDescent="0.2">
      <c r="W112" s="1"/>
    </row>
    <row r="113" spans="23:23" x14ac:dyDescent="0.2">
      <c r="W113" s="1"/>
    </row>
    <row r="114" spans="23:23" x14ac:dyDescent="0.2">
      <c r="W114" s="1"/>
    </row>
    <row r="115" spans="23:23" x14ac:dyDescent="0.2">
      <c r="W115" s="1"/>
    </row>
    <row r="116" spans="23:23" x14ac:dyDescent="0.2">
      <c r="W116" s="1"/>
    </row>
    <row r="117" spans="23:23" x14ac:dyDescent="0.2">
      <c r="W117" s="1"/>
    </row>
    <row r="118" spans="23:23" x14ac:dyDescent="0.2">
      <c r="W118" s="1"/>
    </row>
    <row r="119" spans="23:23" x14ac:dyDescent="0.2">
      <c r="W119" s="1"/>
    </row>
    <row r="120" spans="23:23" x14ac:dyDescent="0.2">
      <c r="W120" s="1"/>
    </row>
    <row r="121" spans="23:23" x14ac:dyDescent="0.2">
      <c r="W121" s="1"/>
    </row>
    <row r="122" spans="23:23" x14ac:dyDescent="0.2">
      <c r="W122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 Shen</dc:creator>
  <cp:lastModifiedBy>Shen Y</cp:lastModifiedBy>
  <dcterms:created xsi:type="dcterms:W3CDTF">2022-04-17T17:27:03Z</dcterms:created>
  <dcterms:modified xsi:type="dcterms:W3CDTF">2022-04-23T07:07:54Z</dcterms:modified>
</cp:coreProperties>
</file>